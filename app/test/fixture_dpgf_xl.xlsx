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  <sheet xmlns:r="http://schemas.openxmlformats.org/officeDocument/2006/relationships" name="Récap" sheetId="2" state="visible" r:id="rId2"/>
  </sheets>
  <definedNames>
    <definedName name="TotalHT">'Récap'!$B$7</definedName>
  </definedNames>
  <calcPr calcId="124519" fullCalcOnLoad="1"/>
</workbook>
</file>

<file path=xl/calcChain.xml><?xml version="1.0" encoding="utf-8"?>
<calcChain xmlns="http://schemas.openxmlformats.org/spreadsheetml/2006/main">
  <c r="F6" i="1"/>
  <c r="F7"/>
  <c r="F8"/>
  <c r="F10"/>
  <c r="F11"/>
  <c r="F12"/>
  <c r="F13"/>
  <c r="F14"/>
  <c r="F16"/>
  <c r="F17"/>
  <c r="F18"/>
  <c r="F20"/>
  <c r="F21"/>
  <c r="F22"/>
  <c r="B4" i="2"/>
  <c r="B5"/>
  <c r="B6"/>
  <c r="B7"/>
  <c r="B8"/>
  <c r="B9"/>
  <c r="B10"/>
  <c r="B11"/>
  <c r="B12"/>
</calcChain>
</file>

<file path=xl/sharedStrings.xml><?xml version="1.0" encoding="utf-8"?>
<sst xmlns="http://schemas.openxmlformats.org/spreadsheetml/2006/main" count="60" uniqueCount="60">
  <si>
    <t xml:space="preserve">DÉCOMPOSITION DU PRIX GLOBAL ET FORFAITAIRE</t>
  </si>
  <si>
    <t xml:space="preserve">Lot 02 — Réseau de chaleur · opération fictive (essai)</t>
  </si>
  <si>
    <t xml:space="preserve">N°</t>
  </si>
  <si>
    <t xml:space="preserve">Désignation</t>
  </si>
  <si>
    <t xml:space="preserve">U</t>
  </si>
  <si>
    <t xml:space="preserve">Qté</t>
  </si>
  <si>
    <t xml:space="preserve">PU HT</t>
  </si>
  <si>
    <t xml:space="preserve">Montant HT</t>
  </si>
  <si>
    <t xml:space="preserve">Code interne</t>
  </si>
  <si>
    <t xml:space="preserve">1</t>
  </si>
  <si>
    <t xml:space="preserve">INSTALLATION DE CHANTIER</t>
  </si>
  <si>
    <t xml:space="preserve">1.1</t>
  </si>
  <si>
    <t xml:space="preserve">Installation de chantier, base vie et repli</t>
  </si>
  <si>
    <t xml:space="preserve">ft</t>
  </si>
  <si>
    <t xml:space="preserve">INT-1-1</t>
  </si>
  <si>
    <t xml:space="preserve">1.2</t>
  </si>
  <si>
    <t xml:space="preserve">Plans d'exécution et dossier des ouvrages exécutés</t>
  </si>
  <si>
    <t xml:space="preserve">INT-1-2</t>
  </si>
  <si>
    <t xml:space="preserve">Sous-total chapitre 1</t>
  </si>
  <si>
    <t xml:space="preserve">2</t>
  </si>
  <si>
    <t xml:space="preserve">RÉSEAU PRÉ-ISOLÉ</t>
  </si>
  <si>
    <t xml:space="preserve">2.1</t>
  </si>
  <si>
    <t xml:space="preserve">Fourniture et pose tube acier pré-isolé série 2 DN 100</t>
  </si>
  <si>
    <t xml:space="preserve">ml</t>
  </si>
  <si>
    <t xml:space="preserve">INT-2-1</t>
  </si>
  <si>
    <t xml:space="preserve">2.2</t>
  </si>
  <si>
    <t xml:space="preserve">Soudure bout à bout DN 100, contrôle visuel</t>
  </si>
  <si>
    <t xml:space="preserve">u</t>
  </si>
  <si>
    <t xml:space="preserve">INT-2-2</t>
  </si>
  <si>
    <t xml:space="preserve">2.3</t>
  </si>
  <si>
    <t xml:space="preserve">Manchon de jonction thermorétractable DN 100</t>
  </si>
  <si>
    <t xml:space="preserve">INT-2-3</t>
  </si>
  <si>
    <t xml:space="preserve">2.4</t>
  </si>
  <si>
    <t xml:space="preserve">Purges et vidanges, y compris vannes</t>
  </si>
  <si>
    <t xml:space="preserve">ens.</t>
  </si>
  <si>
    <t xml:space="preserve">INT-2-4</t>
  </si>
  <si>
    <t xml:space="preserve">Sous-total chapitre 2</t>
  </si>
  <si>
    <t xml:space="preserve">3</t>
  </si>
  <si>
    <t xml:space="preserve">ESSAIS ET CONTRÔLES</t>
  </si>
  <si>
    <t xml:space="preserve">3.1</t>
  </si>
  <si>
    <t xml:space="preserve">Épreuve hydraulique du réseau</t>
  </si>
  <si>
    <t xml:space="preserve">INT-3-1</t>
  </si>
  <si>
    <t xml:space="preserve">3.2</t>
  </si>
  <si>
    <t xml:space="preserve">Contrôle radiographique des soudures (10 %)</t>
  </si>
  <si>
    <t xml:space="preserve">INT-3-2</t>
  </si>
  <si>
    <t xml:space="preserve">Sous-total chapitre 3</t>
  </si>
  <si>
    <t xml:space="preserve">TOTAL HT</t>
  </si>
  <si>
    <t xml:space="preserve">TVA</t>
  </si>
  <si>
    <t xml:space="preserve">TOTAL TTC</t>
  </si>
  <si>
    <t xml:space="preserve">RÉCAPITULATIF</t>
  </si>
  <si>
    <t xml:space="preserve">Chapitre</t>
  </si>
  <si>
    <t xml:space="preserve">1 - Installation</t>
  </si>
  <si>
    <t xml:space="preserve">2 - Réseau</t>
  </si>
  <si>
    <t xml:space="preserve">3 - Essais</t>
  </si>
  <si>
    <t xml:space="preserve">Total HT</t>
  </si>
  <si>
    <t xml:space="preserve">Part du réseau</t>
  </si>
  <si>
    <t xml:space="preserve">Plus gros chapitre</t>
  </si>
  <si>
    <t xml:space="preserve">Contrôle</t>
  </si>
  <si>
    <t xml:space="preserve">Total HT (nom défini)</t>
  </si>
  <si>
    <t xml:space="preserve">Écart type (non géré)</t>
  </si>
</sst>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_-* #,##0.00\ &quot;€&quot;_-;\-* #,##0.00\ &quot;€&quot;_-;_-* &quot;-&quot;??\ &quot;€&quot;_-;_-@_-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</font>
    <font>
      <b val="1"/>
      <i val="1"/>
    </font>
    <font>
      <b val="1"/>
      <color rgb="001F386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/>
    </xf>
    <xf numFmtId="0" fontId="3" fillId="4" borderId="2" pivotButton="0" quotePrefix="0" xfId="0"/>
    <xf numFmtId="0" fontId="3" fillId="4" borderId="5" pivotButton="0" quotePrefix="0" xfId="0"/>
    <xf numFmtId="0" fontId="3" fillId="4" borderId="6" pivotButton="0" quotePrefix="0" xfId="0"/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4" fillId="0" borderId="2" pivotButton="0" quotePrefix="0" xfId="0"/>
    <xf numFmtId="0" fontId="0" fillId="0" borderId="2" pivotButton="0" quotePrefix="0" xfId="0"/>
    <xf numFmtId="165" fontId="3" fillId="0" borderId="2" pivotButton="0" quotePrefix="0" xfId="0"/>
    <xf numFmtId="0" fontId="3" fillId="0" borderId="0" pivotButton="0" quotePrefix="0" xfId="0"/>
    <xf numFmtId="165" fontId="3" fillId="0" borderId="7" pivotButton="0" quotePrefix="0" xfId="0"/>
    <xf numFmtId="9" fontId="0" fillId="0" borderId="0" pivotButton="0" quotePrefix="0" xfId="0"/>
    <xf numFmtId="165" fontId="0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0" fontId="6" fillId="0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Type="http://schemas.openxmlformats.org/officeDocument/2006/relationships/sharedStrings" Target="sharedStrings.xml" Id="rId5"/><Relationship Type="http://schemas.openxmlformats.org/officeDocument/2006/relationships/calcChain" Target="calcChain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" customWidth="1" min="3" max="3"/>
    <col width="11" customWidth="1" min="4" max="4"/>
    <col width="13" customWidth="1" min="5" max="5"/>
    <col width="16" customWidth="1" min="6" max="6"/>
    <col hidden="1" width="14" customWidth="1" min="7" max="7"/>
  </cols>
  <sheetData>
    <row r="1" ht="28" customHeight="1">
      <c r="A1" s="1" t="s">
        <v>0</v>
      </c>
    </row>
    <row r="2">
      <c r="A2" s="2" t="s">
        <v>1</v>
      </c>
    </row>
    <row r="3" ht="6" customHeight="1"/>
    <row r="4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 t="s">
        <v>10</v>
      </c>
      <c r="C5" s="6" t="n"/>
      <c r="D5" s="6" t="n"/>
      <c r="E5" s="6" t="n"/>
      <c r="F5" s="7" t="n"/>
    </row>
    <row r="6">
      <c r="A6" s="8" t="s">
        <v>11</v>
      </c>
      <c r="B6" s="9" t="s">
        <v>12</v>
      </c>
      <c r="C6" s="10" t="s">
        <v>13</v>
      </c>
      <c r="D6" s="11" t="n">
        <v>1</v>
      </c>
      <c r="E6" s="12" t="n"/>
      <c r="F6" s="13">
        <f>D6*E6</f>
        <v>0</v>
      </c>
      <c r="G6" t="s">
        <v>14</v>
      </c>
    </row>
    <row r="7">
      <c r="A7" s="8" t="s">
        <v>15</v>
      </c>
      <c r="B7" s="9" t="s">
        <v>16</v>
      </c>
      <c r="C7" s="10" t="s">
        <v>13</v>
      </c>
      <c r="D7" s="11" t="n">
        <v>1</v>
      </c>
      <c r="E7" s="12" t="n"/>
      <c r="F7" s="13">
        <f>D7*E7</f>
        <v>0</v>
      </c>
      <c r="G7" t="s">
        <v>17</v>
      </c>
    </row>
    <row r="8">
      <c r="A8" s="8" t="n"/>
      <c r="B8" s="14" t="s">
        <v>18</v>
      </c>
      <c r="C8" s="15" t="n"/>
      <c r="D8" s="15" t="n"/>
      <c r="E8" s="15" t="n"/>
      <c r="F8" s="16">
        <f>SUBTOTAL(9,F6:F7)</f>
        <v>0</v>
      </c>
    </row>
    <row r="9">
      <c r="A9" s="4" t="s">
        <v>19</v>
      </c>
      <c r="B9" s="5" t="s">
        <v>20</v>
      </c>
      <c r="C9" s="6" t="n"/>
      <c r="D9" s="6" t="n"/>
      <c r="E9" s="6" t="n"/>
      <c r="F9" s="7" t="n"/>
    </row>
    <row r="10">
      <c r="A10" s="8" t="s">
        <v>21</v>
      </c>
      <c r="B10" s="9" t="s">
        <v>22</v>
      </c>
      <c r="C10" s="10" t="s">
        <v>23</v>
      </c>
      <c r="D10" s="11" t="n">
        <v>600</v>
      </c>
      <c r="E10" s="12" t="n"/>
      <c r="F10" s="13">
        <f t="shared" ref="F10:F13" si="0">D10*E10</f>
        <v>0</v>
      </c>
      <c r="G10" t="s">
        <v>24</v>
      </c>
    </row>
    <row r="11">
      <c r="A11" s="8" t="s">
        <v>25</v>
      </c>
      <c r="B11" s="9" t="s">
        <v>26</v>
      </c>
      <c r="C11" s="10" t="s">
        <v>27</v>
      </c>
      <c r="D11" s="11" t="n">
        <v>100</v>
      </c>
      <c r="E11" s="12" t="n"/>
      <c r="F11" s="13">
        <f t="shared" si="0"/>
        <v>0</v>
      </c>
      <c r="G11" t="s">
        <v>28</v>
      </c>
    </row>
    <row r="12">
      <c r="A12" s="8" t="s">
        <v>29</v>
      </c>
      <c r="B12" s="9" t="s">
        <v>30</v>
      </c>
      <c r="C12" s="10" t="s">
        <v>27</v>
      </c>
      <c r="D12" s="11" t="n">
        <v>100</v>
      </c>
      <c r="E12" s="12" t="n"/>
      <c r="F12" s="13">
        <f t="shared" si="0"/>
        <v>0</v>
      </c>
      <c r="G12" t="s">
        <v>31</v>
      </c>
    </row>
    <row r="13">
      <c r="A13" s="8" t="s">
        <v>32</v>
      </c>
      <c r="B13" s="9" t="s">
        <v>33</v>
      </c>
      <c r="C13" s="10" t="s">
        <v>34</v>
      </c>
      <c r="D13" s="11" t="n">
        <v>1</v>
      </c>
      <c r="E13" s="12" t="n"/>
      <c r="F13" s="13">
        <f t="shared" si="0"/>
        <v>0</v>
      </c>
      <c r="G13" t="s">
        <v>35</v>
      </c>
    </row>
    <row r="14">
      <c r="A14" s="8" t="n"/>
      <c r="B14" s="14" t="s">
        <v>36</v>
      </c>
      <c r="C14" s="15" t="n"/>
      <c r="D14" s="15" t="n"/>
      <c r="E14" s="15" t="n"/>
      <c r="F14" s="16">
        <f>SUBTOTAL(9,F10:F13)</f>
        <v>0</v>
      </c>
    </row>
    <row r="15">
      <c r="A15" s="4" t="s">
        <v>37</v>
      </c>
      <c r="B15" s="5" t="s">
        <v>38</v>
      </c>
      <c r="C15" s="6" t="n"/>
      <c r="D15" s="6" t="n"/>
      <c r="E15" s="6" t="n"/>
      <c r="F15" s="7" t="n"/>
    </row>
    <row r="16">
      <c r="A16" s="8" t="s">
        <v>39</v>
      </c>
      <c r="B16" s="9" t="s">
        <v>40</v>
      </c>
      <c r="C16" s="10" t="s">
        <v>13</v>
      </c>
      <c r="D16" s="11" t="n">
        <v>1</v>
      </c>
      <c r="E16" s="12" t="n"/>
      <c r="F16" s="13">
        <f>ROUND(D16*E16,2)</f>
        <v>0</v>
      </c>
      <c r="G16" t="s">
        <v>41</v>
      </c>
    </row>
    <row r="17">
      <c r="A17" s="8" t="s">
        <v>42</v>
      </c>
      <c r="B17" s="9" t="s">
        <v>43</v>
      </c>
      <c r="C17" s="10" t="s">
        <v>27</v>
      </c>
      <c r="D17" s="11" t="n">
        <v>10</v>
      </c>
      <c r="E17" s="12" t="n"/>
      <c r="F17" s="13">
        <f>D17*E17</f>
        <v>0</v>
      </c>
      <c r="G17" t="s">
        <v>44</v>
      </c>
    </row>
    <row r="18">
      <c r="A18" s="8" t="n"/>
      <c r="B18" s="14" t="s">
        <v>45</v>
      </c>
      <c r="C18" s="15" t="n"/>
      <c r="D18" s="15" t="n"/>
      <c r="E18" s="15" t="n"/>
      <c r="F18" s="16">
        <f>SUBTOTAL(9,F16:F17)</f>
        <v>0</v>
      </c>
    </row>
    <row r="20">
      <c r="B20" s="17" t="s">
        <v>46</v>
      </c>
      <c r="F20" s="18">
        <f>F8+F14+F18</f>
        <v>0</v>
      </c>
    </row>
    <row r="21">
      <c r="B21" t="s">
        <v>47</v>
      </c>
      <c r="E21" s="19" t="n">
        <v>0.2</v>
      </c>
      <c r="F21" s="20">
        <f>ROUND(F20*E21,2)</f>
        <v>0</v>
      </c>
    </row>
    <row r="22">
      <c r="B22" s="21" t="s">
        <v>48</v>
      </c>
      <c r="C22" s="22" t="n"/>
      <c r="D22" s="22" t="n"/>
      <c r="E22" s="22" t="n"/>
      <c r="F22" s="23">
        <f>F20+F21</f>
        <v>0</v>
      </c>
    </row>
  </sheetData>
  <mergeCells count="5">
    <mergeCell ref="A2:F2"/>
    <mergeCell ref="B15:F15"/>
    <mergeCell ref="A1:F1"/>
    <mergeCell ref="B5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24" t="s">
        <v>49</v>
      </c>
    </row>
    <row r="3">
      <c r="A3" s="25" t="s">
        <v>50</v>
      </c>
      <c r="B3" s="25" t="s">
        <v>7</v>
      </c>
    </row>
    <row r="4">
      <c r="A4" t="s">
        <v>51</v>
      </c>
      <c r="B4" s="26">
        <f>DPGF!F8</f>
        <v>0</v>
      </c>
    </row>
    <row r="5">
      <c r="A5" t="s">
        <v>52</v>
      </c>
      <c r="B5" s="26">
        <f>'DPGF'!F14</f>
        <v>0</v>
      </c>
    </row>
    <row r="6">
      <c r="A6" t="s">
        <v>53</v>
      </c>
      <c r="B6" s="26">
        <f>DPGF!F18</f>
        <v>0</v>
      </c>
    </row>
    <row r="7">
      <c r="A7" s="17" t="s">
        <v>54</v>
      </c>
      <c r="B7" s="27">
        <f>SUM(B4:B6)</f>
        <v>0</v>
      </c>
    </row>
    <row r="8">
      <c r="A8" t="s">
        <v>55</v>
      </c>
      <c r="B8" s="28">
        <f>IF(B7&gt;0,B5/B7,0)</f>
        <v>0</v>
      </c>
    </row>
    <row r="9">
      <c r="A9" t="s">
        <v>56</v>
      </c>
      <c r="B9" s="26">
        <f>MAX(B4:B6)</f>
        <v>0</v>
      </c>
    </row>
    <row r="10">
      <c r="A10" t="s">
        <v>57</v>
      </c>
      <c r="B10" t="str">
        <f>IF(ABS(B7-DPGF!F20)&lt;0.01,"OK","ÉCART")</f>
        <v>OK</v>
      </c>
    </row>
    <row r="11">
      <c r="A11" t="s">
        <v>58</v>
      </c>
      <c r="B11" s="26">
        <f>TotalHT*1</f>
        <v>0</v>
      </c>
    </row>
    <row r="12">
      <c r="A12" t="s">
        <v>59</v>
      </c>
      <c r="B12" s="26">
        <f>STDEV(B4:B6)</f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2026-10-14T11:04:33Z</dcterms:created>
  <dcterms:modified xmlns:dcterms="http://purl.org/dc/terms/" xmlns:xsi="http://www.w3.org/2001/XMLSchema-instance" xsi:type="dcterms:W3CDTF">2026-10-14T11:04:33Z</dcterms:modified>
</cp:coreProperties>
</file>
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GF lot 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&quot;€&quot;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i val="1"/>
      <color rgb="00555555"/>
    </font>
    <font>
      <b val="1"/>
    </font>
    <font>
      <b val="1"/>
      <i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medium">
        <color rgb="00000000"/>
      </top>
    </border>
    <border>
      <left style="thin">
        <color rgb="00808080"/>
      </left>
      <right style="thin">
        <color rgb="00808080"/>
      </right>
      <bottom style="medium">
        <color rgb="00000000"/>
      </bottom>
    </border>
    <border>
      <left style="thin">
        <color rgb="00808080"/>
      </left>
      <right style="thin">
        <color rgb="00808080"/>
      </right>
      <top style="medium">
        <color rgb="00000000"/>
      </top>
      <bottom style="medium">
        <color rgb="0000000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medium">
        <color rgb="00000000"/>
      </bottom>
      <diagonal/>
    </border>
    <border>
      <left/>
      <right/>
      <top style="medium">
        <color rgb="00000000"/>
      </top>
      <bottom/>
      <diagonal/>
    </border>
    <border>
      <left/>
      <right style="thin">
        <color rgb="00808080"/>
      </right>
      <top style="medium">
        <color rgb="00000000"/>
      </top>
      <bottom/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/>
      <bottom style="medium">
        <color rgb="00000000"/>
      </bottom>
      <diagonal/>
    </border>
    <border>
      <left/>
      <right/>
      <top/>
      <bottom style="medium">
        <color rgb="00000000"/>
      </bottom>
      <diagonal/>
    </border>
    <border>
      <left/>
      <right style="thin">
        <color rgb="00808080"/>
      </right>
      <top/>
      <bottom style="medium">
        <color rgb="00000000"/>
      </bottom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3" borderId="3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4" fillId="3" borderId="2" applyAlignment="1" pivotButton="0" quotePrefix="0" xfId="0">
      <alignment horizontal="center" vertical="center" wrapText="1"/>
    </xf>
    <xf numFmtId="0" fontId="4" fillId="4" borderId="13" pivotButton="0" quotePrefix="0" xfId="0"/>
    <xf numFmtId="0" fontId="0" fillId="0" borderId="13" pivotButton="0" quotePrefix="0" xfId="0"/>
    <xf numFmtId="0" fontId="0" fillId="0" borderId="13" applyAlignment="1" pivotButton="0" quotePrefix="0" xfId="0">
      <alignment vertical="top" wrapText="1"/>
    </xf>
    <xf numFmtId="0" fontId="0" fillId="0" borderId="13" applyAlignment="1" pivotButton="0" quotePrefix="0" xfId="0">
      <alignment horizontal="center"/>
    </xf>
    <xf numFmtId="4" fontId="0" fillId="0" borderId="13" pivotButton="0" quotePrefix="0" xfId="0"/>
    <xf numFmtId="164" fontId="0" fillId="0" borderId="13" pivotButton="0" quotePrefix="0" xfId="0"/>
    <xf numFmtId="0" fontId="5" fillId="0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2" customWidth="1" min="3" max="3"/>
    <col width="2" customWidth="1" min="4" max="4"/>
    <col width="8" customWidth="1" min="5" max="5"/>
    <col width="2" customWidth="1" min="6" max="6"/>
    <col width="11" customWidth="1" min="7" max="7"/>
    <col width="2" customWidth="1" min="8" max="8"/>
    <col hidden="1" width="2" customWidth="1" min="9" max="9"/>
    <col hidden="1" width="2" customWidth="1" min="10" max="10"/>
    <col hidden="1" width="2" customWidth="1" min="11" max="11"/>
    <col hidden="1" width="2" customWidth="1" min="12" max="12"/>
    <col hidden="1" width="2" customWidth="1" min="13" max="13"/>
    <col width="2" customWidth="1" min="14" max="14"/>
    <col width="13" customWidth="1" min="15" max="15"/>
    <col width="15" customWidth="1" min="16" max="16"/>
  </cols>
  <sheetData>
    <row r="1">
      <c r="A1" s="1" t="inlineStr">
        <is>
          <t>Réseau de chaleur des Essais — opération fictive (pièce de test)</t>
        </is>
      </c>
    </row>
    <row r="2">
      <c r="A2" s="2" t="inlineStr">
        <is>
          <t>DPGF · Détail des prix</t>
        </is>
      </c>
    </row>
    <row r="3">
      <c r="A3" s="3" t="inlineStr">
        <is>
          <t>Lot 05 — Réseau pré-isolé · aucune donnée réelle, quantités et désignations inventées</t>
        </is>
      </c>
    </row>
    <row r="5">
      <c r="A5" s="3" t="inlineStr">
        <is>
          <t>Montants en euros hors taxes</t>
        </is>
      </c>
    </row>
    <row r="6">
      <c r="A6" s="4" t="inlineStr">
        <is>
          <t>N°</t>
        </is>
      </c>
      <c r="B6" s="4" t="inlineStr">
        <is>
          <t>Désignation des ouvrages</t>
        </is>
      </c>
      <c r="C6" s="5" t="n"/>
      <c r="D6" s="6" t="n"/>
      <c r="E6" s="4" t="inlineStr">
        <is>
          <t>U.M.</t>
        </is>
      </c>
      <c r="F6" s="7" t="n"/>
      <c r="G6" s="7" t="inlineStr">
        <is>
          <t>Quantité</t>
        </is>
      </c>
      <c r="H6" s="7" t="n"/>
      <c r="I6" s="7" t="n"/>
      <c r="J6" s="7" t="n"/>
      <c r="K6" s="7" t="n"/>
      <c r="L6" s="7" t="n"/>
      <c r="M6" s="7" t="n"/>
      <c r="N6" s="7" t="n"/>
      <c r="O6" s="7" t="inlineStr">
        <is>
          <t>Prix</t>
        </is>
      </c>
      <c r="P6" s="7" t="inlineStr">
        <is>
          <t>Prix</t>
        </is>
      </c>
    </row>
    <row r="7">
      <c r="A7" s="8" t="n"/>
      <c r="B7" s="9" t="n"/>
      <c r="C7" s="10" t="n"/>
      <c r="D7" s="11" t="n"/>
      <c r="E7" s="8" t="n"/>
      <c r="F7" s="12" t="n"/>
      <c r="G7" s="12" t="inlineStr">
        <is>
          <t>Marché</t>
        </is>
      </c>
      <c r="H7" s="12" t="n"/>
      <c r="I7" s="12" t="n"/>
      <c r="J7" s="12" t="n"/>
      <c r="K7" s="12" t="n"/>
      <c r="L7" s="12" t="n"/>
      <c r="M7" s="12" t="n"/>
      <c r="N7" s="12" t="n"/>
      <c r="O7" s="12" t="inlineStr">
        <is>
          <t>unitaire HT</t>
        </is>
      </c>
      <c r="P7" s="12" t="inlineStr">
        <is>
          <t>total HT</t>
        </is>
      </c>
    </row>
    <row r="8">
      <c r="A8" s="13" t="inlineStr">
        <is>
          <t>1</t>
        </is>
      </c>
      <c r="B8" s="13" t="inlineStr">
        <is>
          <t>INSTALLATIONS DE CHANTIER</t>
        </is>
      </c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</row>
    <row r="9">
      <c r="A9" s="14" t="inlineStr">
        <is>
          <t>1.1</t>
        </is>
      </c>
      <c r="B9" s="15" t="inlineStr">
        <is>
          <t>Installation de chantier, base vie et repli</t>
        </is>
      </c>
      <c r="C9" s="14" t="n"/>
      <c r="D9" s="14" t="n"/>
      <c r="E9" s="16" t="inlineStr">
        <is>
          <t>Fft</t>
        </is>
      </c>
      <c r="F9" s="14" t="n"/>
      <c r="G9" s="17" t="n">
        <v>1</v>
      </c>
      <c r="H9" s="14" t="n"/>
      <c r="I9" s="14" t="n"/>
      <c r="J9" s="14" t="n"/>
      <c r="K9" s="14" t="n"/>
      <c r="L9" s="14" t="n"/>
      <c r="M9" s="14" t="n"/>
      <c r="N9" s="14" t="n"/>
      <c r="O9" s="18" t="n"/>
      <c r="P9" s="18">
        <f>G9*O9</f>
        <v/>
      </c>
    </row>
    <row r="10">
      <c r="A10" s="13" t="inlineStr">
        <is>
          <t>2</t>
        </is>
      </c>
      <c r="B10" s="13" t="inlineStr">
        <is>
          <t>RÉSEAU — ZONE NORD (essai)</t>
        </is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</row>
    <row r="11">
      <c r="A11" s="14" t="inlineStr">
        <is>
          <t>2.1</t>
        </is>
      </c>
      <c r="B11" s="15" t="inlineStr">
        <is>
          <t>Tube acier pré-isolé DN 100 — rue des Essais</t>
        </is>
      </c>
      <c r="C11" s="14" t="n"/>
      <c r="D11" s="14" t="n"/>
      <c r="E11" s="16" t="inlineStr">
        <is>
          <t>m.l.</t>
        </is>
      </c>
      <c r="F11" s="14" t="n"/>
      <c r="G11" s="17">
        <f>120+60</f>
        <v/>
      </c>
      <c r="H11" s="14" t="n"/>
      <c r="I11" s="14" t="n"/>
      <c r="J11" s="14" t="n"/>
      <c r="K11" s="14" t="n"/>
      <c r="L11" s="14" t="n"/>
      <c r="M11" s="14" t="n"/>
      <c r="N11" s="14" t="n"/>
      <c r="O11" s="18" t="n"/>
      <c r="P11" s="18">
        <f>G11*O11</f>
        <v/>
      </c>
    </row>
    <row r="12">
      <c r="A12" s="14" t="inlineStr">
        <is>
          <t>2.2</t>
        </is>
      </c>
      <c r="B12" s="15" t="inlineStr">
        <is>
          <t>Tube acier pré-isolé DN 100 — traversée du parc fictif</t>
        </is>
      </c>
      <c r="C12" s="14" t="n"/>
      <c r="D12" s="14" t="n"/>
      <c r="E12" s="16" t="inlineStr">
        <is>
          <t>ML</t>
        </is>
      </c>
      <c r="F12" s="14" t="n"/>
      <c r="G12" s="17">
        <f>2*60</f>
        <v/>
      </c>
      <c r="H12" s="14" t="n"/>
      <c r="I12" s="14" t="n"/>
      <c r="J12" s="14" t="n"/>
      <c r="K12" s="14" t="n"/>
      <c r="L12" s="14" t="n"/>
      <c r="M12" s="14" t="n"/>
      <c r="N12" s="14" t="n"/>
      <c r="O12" s="18" t="n"/>
      <c r="P12" s="18">
        <f>G12*O12</f>
        <v/>
      </c>
    </row>
    <row r="13">
      <c r="A13" s="14" t="inlineStr">
        <is>
          <t>2.3</t>
        </is>
      </c>
      <c r="B13" s="15" t="inlineStr">
        <is>
          <t>Tube acier pré-isolé DN 100 — extension (essai)</t>
        </is>
      </c>
      <c r="C13" s="14" t="n"/>
      <c r="D13" s="14" t="n"/>
      <c r="E13" s="16" t="inlineStr">
        <is>
          <t>ml</t>
        </is>
      </c>
      <c r="F13" s="14" t="n"/>
      <c r="G13" s="17" t="n">
        <v>48</v>
      </c>
      <c r="H13" s="14" t="n"/>
      <c r="I13" s="14" t="n"/>
      <c r="J13" s="14" t="n"/>
      <c r="K13" s="14" t="n"/>
      <c r="L13" s="14" t="n"/>
      <c r="M13" s="14" t="n"/>
      <c r="N13" s="14" t="n"/>
      <c r="O13" s="18" t="n"/>
      <c r="P13" s="18">
        <f>G13*O13</f>
        <v/>
      </c>
    </row>
    <row r="14">
      <c r="A14" s="14" t="inlineStr">
        <is>
          <t>2.4</t>
        </is>
      </c>
      <c r="B14" s="15" t="inlineStr">
        <is>
          <t>Soudure bout à bout DN 100 en fouille</t>
        </is>
      </c>
      <c r="C14" s="14" t="n"/>
      <c r="D14" s="14" t="n"/>
      <c r="E14" s="16" t="inlineStr">
        <is>
          <t>U</t>
        </is>
      </c>
      <c r="F14" s="14" t="n"/>
      <c r="G14" s="17" t="n">
        <v>6</v>
      </c>
      <c r="H14" s="14" t="n"/>
      <c r="I14" s="14" t="n"/>
      <c r="J14" s="14" t="n"/>
      <c r="K14" s="14" t="n"/>
      <c r="L14" s="14" t="n"/>
      <c r="M14" s="14" t="n"/>
      <c r="N14" s="14" t="n"/>
      <c r="O14" s="18" t="n"/>
      <c r="P14" s="18">
        <f>G14*O14</f>
        <v/>
      </c>
    </row>
    <row r="15">
      <c r="A15" s="13" t="inlineStr">
        <is>
          <t>3</t>
        </is>
      </c>
      <c r="B15" s="13" t="inlineStr">
        <is>
          <t>RÉSEAU — ZONE SUD (essai)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</row>
    <row r="16">
      <c r="A16" s="14" t="inlineStr">
        <is>
          <t>3.1</t>
        </is>
      </c>
      <c r="B16" s="15" t="inlineStr">
        <is>
          <t>Réfection provisoire de chaussée</t>
        </is>
      </c>
      <c r="C16" s="14" t="n"/>
      <c r="D16" s="14" t="n"/>
      <c r="E16" s="16" t="inlineStr">
        <is>
          <t>m²</t>
        </is>
      </c>
      <c r="F16" s="14" t="n"/>
      <c r="G16" s="17" t="n">
        <v>35</v>
      </c>
      <c r="H16" s="14" t="n"/>
      <c r="I16" s="14" t="n"/>
      <c r="J16" s="14" t="n"/>
      <c r="K16" s="14" t="n"/>
      <c r="L16" s="14" t="n"/>
      <c r="M16" s="14" t="n"/>
      <c r="N16" s="14" t="n"/>
      <c r="O16" s="18" t="n"/>
      <c r="P16" s="18">
        <f>G16*O16</f>
        <v/>
      </c>
    </row>
    <row r="17">
      <c r="A17" s="13" t="inlineStr">
        <is>
          <t>3.2</t>
        </is>
      </c>
      <c r="B17" s="13" t="inlineStr">
        <is>
          <t>Canalisations DN 80</t>
        </is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</row>
    <row r="18">
      <c r="A18" s="14" t="inlineStr">
        <is>
          <t>3.2.1</t>
        </is>
      </c>
      <c r="B18" s="15" t="inlineStr">
        <is>
          <t>Tube acier pré-isolé DN 80 — allée des Tests</t>
        </is>
      </c>
      <c r="C18" s="14" t="n"/>
      <c r="D18" s="14" t="n"/>
      <c r="E18" s="16" t="inlineStr">
        <is>
          <t>ml</t>
        </is>
      </c>
      <c r="F18" s="14" t="n"/>
      <c r="G18" s="17">
        <f>100+60</f>
        <v/>
      </c>
      <c r="H18" s="14" t="n"/>
      <c r="I18" s="14" t="n"/>
      <c r="J18" s="14" t="n"/>
      <c r="K18" s="14" t="n"/>
      <c r="L18" s="14" t="n"/>
      <c r="M18" s="14" t="n"/>
      <c r="N18" s="14" t="n"/>
      <c r="O18" s="18" t="n"/>
      <c r="P18" s="18">
        <f>G18*O18</f>
        <v/>
      </c>
    </row>
    <row r="19">
      <c r="A19" s="14" t="inlineStr">
        <is>
          <t>3.2.2</t>
        </is>
      </c>
      <c r="B19" s="15" t="inlineStr">
        <is>
          <t>Tube acier pré-isolé DN 80 — antenne bâtiment B</t>
        </is>
      </c>
      <c r="C19" s="14" t="n"/>
      <c r="D19" s="14" t="n"/>
      <c r="E19" s="16" t="inlineStr">
        <is>
          <t>mètre linéaire</t>
        </is>
      </c>
      <c r="F19" s="14" t="n"/>
      <c r="G19" s="17" t="n">
        <v>80</v>
      </c>
      <c r="H19" s="14" t="n"/>
      <c r="I19" s="14" t="n"/>
      <c r="J19" s="14" t="n"/>
      <c r="K19" s="14" t="n"/>
      <c r="L19" s="14" t="n"/>
      <c r="M19" s="14" t="n"/>
      <c r="N19" s="14" t="n"/>
      <c r="O19" s="18" t="n"/>
      <c r="P19" s="18">
        <f>G19*O19</f>
        <v/>
      </c>
    </row>
    <row r="20">
      <c r="A20" s="14" t="inlineStr">
        <is>
          <t>3.2.3</t>
        </is>
      </c>
      <c r="B20" s="15" t="inlineStr">
        <is>
          <t>Tube acier pré-isolé DN 80 — antenne bâtiment C (essai)</t>
        </is>
      </c>
      <c r="C20" s="14" t="n"/>
      <c r="D20" s="14" t="n"/>
      <c r="E20" s="16" t="inlineStr">
        <is>
          <t>m</t>
        </is>
      </c>
      <c r="F20" s="14" t="n"/>
      <c r="G20" s="17" t="n">
        <v>20</v>
      </c>
      <c r="H20" s="14" t="n"/>
      <c r="I20" s="14" t="n"/>
      <c r="J20" s="14" t="n"/>
      <c r="K20" s="14" t="n"/>
      <c r="L20" s="14" t="n"/>
      <c r="M20" s="14" t="n"/>
      <c r="N20" s="14" t="n"/>
      <c r="O20" s="18" t="n"/>
      <c r="P20" s="18">
        <f>G20*O20</f>
        <v/>
      </c>
    </row>
    <row r="21">
      <c r="A21" s="13" t="inlineStr">
        <is>
          <t>4</t>
        </is>
      </c>
      <c r="B21" s="13" t="inlineStr">
        <is>
          <t>ESSAIS ET DIVERS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</row>
    <row r="22">
      <c r="A22" s="14" t="inlineStr">
        <is>
          <t>4.1</t>
        </is>
      </c>
      <c r="B22" s="15" t="inlineStr">
        <is>
          <t>Épreuve hydraulique du réseau</t>
        </is>
      </c>
      <c r="C22" s="14" t="n"/>
      <c r="D22" s="14" t="n"/>
      <c r="E22" s="16" t="inlineStr">
        <is>
          <t>Ens</t>
        </is>
      </c>
      <c r="F22" s="14" t="n"/>
      <c r="G22" s="17" t="n">
        <v>1</v>
      </c>
      <c r="H22" s="14" t="n"/>
      <c r="I22" s="14" t="n"/>
      <c r="J22" s="14" t="n"/>
      <c r="K22" s="14" t="n"/>
      <c r="L22" s="14" t="n"/>
      <c r="M22" s="14" t="n"/>
      <c r="N22" s="14" t="n"/>
      <c r="O22" s="18" t="n"/>
      <c r="P22" s="18">
        <f>G22*O22</f>
        <v/>
      </c>
    </row>
    <row r="23">
      <c r="A23" s="14" t="inlineStr">
        <is>
          <t>4.2</t>
        </is>
      </c>
      <c r="B23" s="15" t="inlineStr">
        <is>
          <t>Divers et sujétions d'exécution</t>
        </is>
      </c>
      <c r="C23" s="14" t="n"/>
      <c r="D23" s="14" t="n"/>
      <c r="E23" s="16" t="n"/>
      <c r="F23" s="14" t="n"/>
      <c r="G23" s="17" t="n">
        <v>1</v>
      </c>
      <c r="H23" s="14" t="n"/>
      <c r="I23" s="14" t="n"/>
      <c r="J23" s="14" t="n"/>
      <c r="K23" s="14" t="n"/>
      <c r="L23" s="14" t="n"/>
      <c r="M23" s="14" t="n"/>
      <c r="N23" s="14" t="n"/>
      <c r="O23" s="18" t="n"/>
      <c r="P23" s="18">
        <f>G23*O23</f>
        <v/>
      </c>
    </row>
    <row r="24">
      <c r="B24" s="19" t="inlineStr">
        <is>
          <t>Sous-total du lot</t>
        </is>
      </c>
      <c r="P24" s="20">
        <f>SUBTOTAL(9,P8:P23)</f>
        <v/>
      </c>
    </row>
    <row r="26">
      <c r="B26" s="21" t="inlineStr">
        <is>
          <t>TOTAL HT</t>
        </is>
      </c>
      <c r="P26" s="20">
        <f>P24</f>
        <v/>
      </c>
    </row>
    <row r="27">
      <c r="B27" t="inlineStr">
        <is>
          <t>TVA 20 %</t>
        </is>
      </c>
      <c r="P27" s="20">
        <f>ROUND(P26*0.2,2)</f>
        <v/>
      </c>
    </row>
    <row r="28">
      <c r="B28" s="21" t="inlineStr">
        <is>
          <t>TOTAL TTC</t>
        </is>
      </c>
      <c r="P28" s="20">
        <f>P26+P27</f>
        <v/>
      </c>
    </row>
  </sheetData>
  <mergeCells count="5">
    <mergeCell ref="B6:D7"/>
    <mergeCell ref="A1:P1"/>
    <mergeCell ref="E6:E7"/>
    <mergeCell ref="A6:A7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2026-10-19T10:57:51Z</dcterms:created>
  <dcterms:modified xmlns:dcterms="http://purl.org/dc/terms/" xmlns:xsi="http://www.w3.org/2001/XMLSchema-instance" xsi:type="dcterms:W3CDTF">2026-10-19T10:57:51Z</dcterms:modified>
</cp:coreProperties>
</file>
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MO" sheetId="1" state="visible" r:id="rId1"/>
    <sheet xmlns:r="http://schemas.openxmlformats.org/officeDocument/2006/relationships" name="Base FO" sheetId="2" state="visible" r:id="rId2"/>
    <sheet xmlns:r="http://schemas.openxmlformats.org/officeDocument/2006/relationships" name="Base Opération" sheetId="3" state="visible" r:id="rId3"/>
    <sheet xmlns:r="http://schemas.openxmlformats.org/officeDocument/2006/relationships" name="Suivi actualisation" sheetId="4" state="visible" r:id="rId4"/>
  </sheets>
  <definedNames>
    <definedName name="FO_AR_Benne_Contener_WC">'Base FO'!$B$172</definedName>
    <definedName name="FO_AR_Pelle">'Base FO'!$B$173</definedName>
    <definedName name="FO_Abattement_Pelle_Gros_Chantier">'Base FO'!$B$174</definedName>
    <definedName name="FO_Adoucisseur_15">'Base FO'!$B$175</definedName>
    <definedName name="FO_Adoucisseur_5">'Base FO'!$B$176</definedName>
    <definedName name="FO_Amene_Repli_Equipe">'Base FO'!$B$177</definedName>
    <definedName name="FO_Boitier_Plexo">'Base FO'!$B$178</definedName>
    <definedName name="FO_Boulet_Compresseur_Type_1">'Base FO'!$B$179</definedName>
    <definedName name="FO_Boulet_Compresseur_Type_2">'Base FO'!$B$180</definedName>
    <definedName name="FO_Boulet_Compresseur_Type_3">'Base FO'!$B$181</definedName>
    <definedName name="FO_Boulet_Duree_Location_Compresseur">'Base FO'!$B$182</definedName>
    <definedName name="FO_Boulet_Duree_Location_Pelle">'Base FO'!$B$183</definedName>
    <definedName name="FO_Boulet_Location_Pelle_h">'Base FO'!$B$184</definedName>
    <definedName name="FO_Boulet_MO_AR_Compresseur_Pers">'Base FO'!$B$185</definedName>
    <definedName name="FO_Boulet_MO_AR_Compresseur_h">'Base FO'!$B$186</definedName>
    <definedName name="FO_Boulet_MO_Extremites_Pers">'Base FO'!$B$187</definedName>
    <definedName name="FO_Boulet_MO_Extremites_h">'Base FO'!$B$188</definedName>
    <definedName name="FO_Boulet_MO_Piston_Pers">'Base FO'!$B$189</definedName>
    <definedName name="FO_Boulet_MO_Piston_h">'Base FO'!$B$190</definedName>
    <definedName name="FO_Boulet_MO_Poussee_Pers">'Base FO'!$B$191</definedName>
    <definedName name="FO_Boulet_MO_Poussee_h">'Base FO'!$B$192</definedName>
    <definedName name="FO_Boulet_MO_Retrait_Pers">'Base FO'!$B$193</definedName>
    <definedName name="FO_Boulet_MO_Retrait_h">'Base FO'!$B$194</definedName>
    <definedName name="FO_Boulet_Nb_Bobines">'Base FO'!$B$195</definedName>
    <definedName name="FO_Boulet_Nb_Boulets">'Base FO'!$B$196</definedName>
    <definedName name="FO_Boulet_Nb_Fonds_Bombes">'Base FO'!$B$197</definedName>
    <definedName name="FO_Boulet_Nb_Tetes_Chat">'Base FO'!$B$198</definedName>
    <definedName name="FO_Boulet_Nb_Vannes_BS_PR">'Base FO'!$B$199</definedName>
    <definedName name="FO_Boulet_Prix_Tete_Chat">'Base FO'!$B$200</definedName>
    <definedName name="FO_Calo_Nb_Pers_Deplacement">'Base FO'!$B$201</definedName>
    <definedName name="FO_Camion_Plateau">'Base FO'!$B$202</definedName>
    <definedName name="FO_Conservation_Circulation">'Base FO'!$B$203</definedName>
    <definedName name="FO_Conservation_Dechets">'Base FO'!$B$204</definedName>
    <definedName name="FO_Conservation_Dosage">'Base FO'!$B$205</definedName>
    <definedName name="FO_Conservation_Produit">'Base FO'!$B$206</definedName>
    <definedName name="FO_Conservation_Remplissage">'Base FO'!$B$207</definedName>
    <definedName name="FO_Conservation_Vidange">'Base FO'!$B$208</definedName>
    <definedName name="FO_Cout_Journee_Benne">'Base FO'!$B$209</definedName>
    <definedName name="FO_Cout_Journee_Contener">'Base FO'!$B$210</definedName>
    <definedName name="FO_Cout_Journee_Pelle">'Base FO'!$B$211</definedName>
    <definedName name="FO_Cout_Journee_WC">'Base FO'!$B$212</definedName>
    <definedName name="FO_DN_Accessoires_Injection">'Base FO'!$B$213</definedName>
    <definedName name="FO_Dechets_DIB_Tonne">'Base FO'!$B$214</definedName>
    <definedName name="FO_Depose_Arrondi_Prix_MO">'Base FO'!$B$215</definedName>
    <definedName name="FO_Depose_Espacement_Coupes">'Base FO'!$B$216</definedName>
    <definedName name="FO_Depose_Volume_Rotation">'Base FO'!$B$217</definedName>
    <definedName name="FO_EauAdoucie_Eau_m3">'Base FO'!$B$218</definedName>
    <definedName name="FO_EauAdoucie_Flexible">'Base FO'!$B$219</definedName>
    <definedName name="FO_EauAdoucie_Mise_En_Service">'Base FO'!$B$220</definedName>
    <definedName name="FO_EauAdoucie_Sel">'Base FO'!$B$221</definedName>
    <definedName name="FO_EauAdoucie_Soude">'Base FO'!$B$222</definedName>
    <definedName name="FO_Epreuve_Debit_Poteau">'Base FO'!$B$223</definedName>
    <definedName name="FO_Epreuve_Eau_m3">'Base FO'!$B$224</definedName>
    <definedName name="FO_Epreuve_Hydrocureur_h">'Base FO'!$B$225</definedName>
    <definedName name="FO_Epreuve_MO_Decompression">'Base FO'!$B$226</definedName>
    <definedName name="FO_Epreuve_MO_Montee_Pression">'Base FO'!$B$227</definedName>
    <definedName name="FO_Epreuve_Mise_En_Place">'Base FO'!$B$228</definedName>
    <definedName name="FO_Epreuve_Plafond_Duree">'Base FO'!$B$229</definedName>
    <definedName name="FO_Epreuve_Pompe">'Base FO'!$B$230</definedName>
    <definedName name="FO_Epreuve_Rapport">'Base FO'!$B$231</definedName>
    <definedName name="FO_Etiquette_Marquage">'Base FO'!$B$232</definedName>
    <definedName name="FO_Foncage_Colliers_Sup">'Base FO'!$B$233</definedName>
    <definedName name="FO_Foncage_Espacement_Colliers">'Base FO'!$B$234</definedName>
    <definedName name="FO_Foncage_Nb_Films_Vacation">'Base FO'!$B$235</definedName>
    <definedName name="FO_Foncage_Nb_Obturateurs">'Base FO'!$B$236</definedName>
    <definedName name="FO_Foncage_Nb_Tubes">'Base FO'!$B$237</definedName>
    <definedName name="FO_Foncage_Prix_Obturateur">'Base FO'!$B$238</definedName>
    <definedName name="FO_Foncage_Ratio_Segments_h">'Base FO'!$B$239</definedName>
    <definedName name="FO_Foncage_Transport_Colliers">'Base FO'!$B$240</definedName>
    <definedName name="FO_Groupe_Transfo_Jour">'Base FO'!$B$241</definedName>
    <definedName name="FO_Heures_Par_Jour">'Base FO'!$B$242</definedName>
    <definedName name="FO_Journee_Pelle_Complete">'Base FO'!$B$243</definedName>
    <definedName name="FO_MO_Pose_Boitiers">'Base FO'!$B$244</definedName>
    <definedName name="FO_Nb_Boitiers_Par_Vanne">'Base FO'!$B$245</definedName>
    <definedName name="FO_Nb_Remplissages">'Base FO'!$B$246</definedName>
    <definedName name="FO_Passivation_Circulation">'Base FO'!$B$247</definedName>
    <definedName name="FO_Passivation_Dechets">'Base FO'!$B$248</definedName>
    <definedName name="FO_Passivation_Dosage">'Base FO'!$B$249</definedName>
    <definedName name="FO_Passivation_Produit">'Base FO'!$B$250</definedName>
    <definedName name="FO_Peinture_Aerien_ml">'Base FO'!$B$251</definedName>
    <definedName name="FO_Peinture_SST_Gros_DN">'Base FO'!$B$252</definedName>
    <definedName name="FO_Peinture_SST_Petit_DN">'Base FO'!$B$253</definedName>
    <definedName name="FO_Peinture_SST_Seuil_DN">'Base FO'!$B$254</definedName>
    <definedName name="FO_Petite_Grue">'Base FO'!$B$255</definedName>
    <definedName name="FO_Prix_Certificat">'Base FO'!$B$256</definedName>
    <definedName name="FO_Purgeur_Auto">'Base FO'!$B$257</definedName>
    <definedName name="FO_Rallonge_Vanne_Preisolee">'Base FO'!$B$258</definedName>
    <definedName name="FO_Ratio_Dechets">'Base FO'!$B$259</definedName>
    <definedName name="FO_Rincage_Amortissement_SKID">'Base FO'!$B$260</definedName>
    <definedName name="FO_Rincage_Chasse">'Base FO'!$B$261</definedName>
    <definedName name="FO_Rincage_Circulation">'Base FO'!$B$262</definedName>
    <definedName name="FO_Rincage_Coefficient_Chasse">'Base FO'!$B$263</definedName>
    <definedName name="FO_Rincage_Dechets">'Base FO'!$B$264</definedName>
    <definedName name="FO_Rincage_Eau_m3">'Base FO'!$B$265</definedName>
    <definedName name="FO_Rincage_Filtration">'Base FO'!$B$266</definedName>
    <definedName name="FO_Rincage_MO_Installation">'Base FO'!$B$267</definedName>
    <definedName name="FO_Rincage_Rapport">'Base FO'!$B$268</definedName>
    <definedName name="FO_Rincage_Repli">'Base FO'!$B$269</definedName>
    <definedName name="FO_Rincage_Transport_SKID">'Base FO'!$B$270</definedName>
    <definedName name="FO_Seuil_Volume_Compresseur_1">'Base FO'!$B$271</definedName>
    <definedName name="FO_Seuil_Volume_Compresseur_2">'Base FO'!$B$272</definedName>
    <definedName name="FO_Support_Espacement_Gros_DN">'Base FO'!$B$273</definedName>
    <definedName name="FO_Support_Espacement_Petit_DN">'Base FO'!$B$274</definedName>
    <definedName name="FO_Support_Seuil_DN">'Base FO'!$B$275</definedName>
    <definedName name="FO_Te_Acier">'Base FO'!$B$276</definedName>
    <definedName name="FO_Transport_Fournitures">'Base FO'!$B$277</definedName>
    <definedName name="FO_Volume_Reference_Ratios">'Base FO'!$B$278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O_Vannes_Souder" displayName="FO_Vannes_Souder" ref="A6:G22" headerRowCount="1">
  <autoFilter ref="A6:G22"/>
  <tableColumns count="7">
    <tableColumn id="1" name="DN"/>
    <tableColumn id="2" name="Vanne BS PI PN25 sans réducteur"/>
    <tableColumn id="3" name="Vanne BS PI PN25 avec réducteur"/>
    <tableColumn id="4" name="Vanne BS PR PN25"/>
    <tableColumn id="5" name="Vanne BS BW/F PN25"/>
    <tableColumn id="6" name="Vanne BS PEC PN25"/>
    <tableColumn id="7" name="Vanne BS PI PN40 sans réducteur"/>
  </tableColumns>
  <tableStyleInfo name="TableStyleMedium2" showRowStripes="1"/>
</table>
</file>

<file path=xl/tables/table2.xml><?xml version="1.0" encoding="utf-8"?>
<table xmlns="http://schemas.openxmlformats.org/spreadsheetml/2006/main" id="2" name="FO_Vannes_Brides_PN16_PN25_PN40" displayName="FO_Vannes_Brides_PN16_PN25_PN40" ref="A26:K39" headerRowCount="1">
  <autoFilter ref="A26:K39"/>
  <tableColumns count="11">
    <tableColumn id="1" name="DN"/>
    <tableColumn id="2" name="Vanne Lug PN16"/>
    <tableColumn id="3" name="Bride PN16"/>
    <tableColumn id="4" name="Boulons PN16 (lot)"/>
    <tableColumn id="5" name="Vanne Lug PN25"/>
    <tableColumn id="6" name="Bride PN25"/>
    <tableColumn id="7" name="Boulons PN25 (lot)"/>
    <tableColumn id="8" name="Vanne Lug PN40"/>
    <tableColumn id="9" name="Bride PN40"/>
    <tableColumn id="10" name="Joints + Boulons PN40 (lot)"/>
    <tableColumn id="11" name="Joints (lot, déduit)"/>
  </tableColumns>
  <tableStyleInfo name="TableStyleMedium2" showRowStripes="1"/>
</table>
</file>

<file path=xl/tables/table3.xml><?xml version="1.0" encoding="utf-8"?>
<table xmlns="http://schemas.openxmlformats.org/spreadsheetml/2006/main" id="3" name="FO_Vannes_BS_Brides" displayName="FO_Vannes_BS_Brides" ref="A43:H55" headerRowCount="1">
  <autoFilter ref="A43:H55"/>
  <tableColumns count="8">
    <tableColumn id="1" name="DN"/>
    <tableColumn id="2" name="Vanne BS Bride PN40"/>
    <tableColumn id="3" name="Bride PN40"/>
    <tableColumn id="4" name="Boulons PN40 (lot)"/>
    <tableColumn id="5" name="Vanne BS Bride PN25"/>
    <tableColumn id="6" name="Bride PN25"/>
    <tableColumn id="7" name="Boulons PN25 (lot)"/>
    <tableColumn id="8" name="Joints (lot, déduit)"/>
  </tableColumns>
  <tableStyleInfo name="TableStyleMedium2" showRowStripes="1"/>
</table>
</file>

<file path=xl/tables/table4.xml><?xml version="1.0" encoding="utf-8"?>
<table xmlns="http://schemas.openxmlformats.org/spreadsheetml/2006/main" id="4" name="FO_Accessoires_Acier" displayName="FO_Accessoires_Acier" ref="A59:M75" headerRowCount="1">
  <autoFilter ref="A59:M75"/>
  <tableColumns count="13">
    <tableColumn id="1" name="DN"/>
    <tableColumn id="2" name="Bobines"/>
    <tableColumn id="3" name="Coudes à visser"/>
    <tableColumn id="4" name="Bouchon F"/>
    <tableColumn id="5" name="Raccord sym. M"/>
    <tableColumn id="6" name="Raccord sym. F"/>
    <tableColumn id="7" name="Bouchons pompier"/>
    <tableColumn id="8" name="Tubes acier 6ml"/>
    <tableColumn id="9" name="Coudes à souder"/>
    <tableColumn id="10" name="Fonds bombés"/>
    <tableColumn id="11" name="Boulet mousse"/>
    <tableColumn id="12" name="Renfort PEC (selle)"/>
    <tableColumn id="13" name="Brides PN25"/>
  </tableColumns>
  <tableStyleInfo name="TableStyleMedium2" showRowStripes="1"/>
</table>
</file>

<file path=xl/tables/table5.xml><?xml version="1.0" encoding="utf-8"?>
<table xmlns="http://schemas.openxmlformats.org/spreadsheetml/2006/main" id="5" name="FO_Colliers_Centreurs" displayName="FO_Colliers_Centreurs" ref="A79:C98" headerRowCount="1">
  <autoFilter ref="A79:C98"/>
  <tableColumns count="3">
    <tableColumn id="1" name="DN Isolation"/>
    <tableColumn id="2" name="Nb segments par collier"/>
    <tableColumn id="3" name="Prix unitaire segment"/>
  </tableColumns>
  <tableStyleInfo name="TableStyleMedium2" showRowStripes="1"/>
</table>
</file>

<file path=xl/tables/table6.xml><?xml version="1.0" encoding="utf-8"?>
<table xmlns="http://schemas.openxmlformats.org/spreadsheetml/2006/main" id="6" name="FO_Isolation" displayName="FO_Isolation" ref="A102:J120" headerRowCount="1">
  <autoFilter ref="A102:J120"/>
  <tableColumns count="10">
    <tableColumn id="1" name="DN Acier"/>
    <tableColumn id="2" name="Ø ISO 1"/>
    <tableColumn id="3" name="Ø ISO 2"/>
    <tableColumn id="4" name="Ø ISO 3"/>
    <tableColumn id="5" name="Poids kg/ml"/>
    <tableColumn id="6" name="Volume/ml Iso 1"/>
    <tableColumn id="7" name="Volume/ml Iso 2"/>
    <tableColumn id="8" name="Volume/ml Iso 3"/>
    <tableColumn id="9" name="Ø intérieur (mm)"/>
    <tableColumn id="10" name="Nb coupes / jour (en 5 ml)"/>
  </tableColumns>
  <tableStyleInfo name="TableStyleMedium2" showRowStripes="1"/>
</table>
</file>

<file path=xl/tables/table7.xml><?xml version="1.0" encoding="utf-8"?>
<table xmlns="http://schemas.openxmlformats.org/spreadsheetml/2006/main" id="7" name="FO_Forfaits_Distance" displayName="FO_Forfaits_Distance" ref="A124:G127" headerRowCount="1">
  <autoFilter ref="A124:G127"/>
  <tableColumns count="7">
    <tableColumn id="1" name="Poste"/>
    <tableColumn id="2" name="0-100 km"/>
    <tableColumn id="3" name="100-150 km"/>
    <tableColumn id="4" name="150-200 km"/>
    <tableColumn id="5" name="200-300 km"/>
    <tableColumn id="6" name="300-500 km"/>
    <tableColumn id="7" name="&gt; 500 km (€/km supp)"/>
  </tableColumns>
  <tableStyleInfo name="TableStyleMedium2" showRowStripes="1"/>
</table>
</file>

<file path=xl/tables/table8.xml><?xml version="1.0" encoding="utf-8"?>
<table xmlns="http://schemas.openxmlformats.org/spreadsheetml/2006/main" id="8" name="FO_Prix_Films" displayName="FO_Prix_Films" ref="A131:F135" headerRowCount="1">
  <autoFilter ref="A131:F135"/>
  <tableColumns count="6">
    <tableColumn id="1" name="Tranche DN"/>
    <tableColumn id="2" name="Radio"/>
    <tableColumn id="3" name="Ultrasons"/>
    <tableColumn id="4" name="Ressuage"/>
    <tableColumn id="5" name="DN min"/>
    <tableColumn id="6" name="DN max"/>
  </tableColumns>
  <tableStyleInfo name="TableStyleMedium2" showRowStripes="1"/>
</table>
</file>

<file path=xl/tables/table9.xml><?xml version="1.0" encoding="utf-8"?>
<table xmlns="http://schemas.openxmlformats.org/spreadsheetml/2006/main" id="9" name="FO_Supportage" displayName="FO_Supportage" ref="A139:D143" headerRowCount="1">
  <autoFilter ref="A139:D143"/>
  <tableColumns count="4">
    <tableColumn id="1" name="Type de support"/>
    <tableColumn id="2" name="Fourniture"/>
    <tableColumn id="3" name="MO (h / support)"/>
    <tableColumn id="4" name="Prix de vente d'un support"/>
  </tableColumns>
  <tableStyleInfo name="TableStyleMedium2" showRowStripes="1"/>
</table>
</file>

<file path=xl/tables/table10.xml><?xml version="1.0" encoding="utf-8"?>
<table xmlns="http://schemas.openxmlformats.org/spreadsheetml/2006/main" id="10" name="FO_Calorifugeage" displayName="FO_Calorifugeage" ref="A147:L158" headerRowCount="1">
  <autoFilter ref="A147:L158"/>
  <tableColumns count="12">
    <tableColumn id="1" name="DN"/>
    <tableColumn id="2" name="Ø ext."/>
    <tableColumn id="3" name="Fourn. droite Laine (€/ml)"/>
    <tableColumn id="4" name="Fourn. droite PVC (€/ml)"/>
    <tableColumn id="5" name="Fourn. droite Isoxal (€/ml)"/>
    <tableColumn id="6" name="Fourn. coude Laine (€/u)"/>
    <tableColumn id="7" name="Fourn. coude PVC (€/u)"/>
    <tableColumn id="8" name="Fourn. coude Isoxal (€/u)"/>
    <tableColumn id="9" name="MO droite PVC (h/ml)"/>
    <tableColumn id="10" name="MO droite Isoxal (h/ml)"/>
    <tableColumn id="11" name="MO coude PVC (h/u)"/>
    <tableColumn id="12" name="MO coude Isoxal (h/u)"/>
  </tableColumns>
  <tableStyleInfo name="TableStyleMedium2" showRowStripes="1"/>
</table>
</file>

<file path=xl/tables/table11.xml><?xml version="1.0" encoding="utf-8"?>
<table xmlns="http://schemas.openxmlformats.org/spreadsheetml/2006/main" id="11" name="FO_Taux_RCFA" displayName="FO_Taux_RCFA" ref="A162:B168" headerRowCount="1">
  <autoFilter ref="A162:B168"/>
  <tableColumns count="2">
    <tableColumn id="1" name="Client"/>
    <tableColumn id="2" name="Taux RCF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MAIN D'ŒUVRE (MAQUETTE DE TEST — PRIX FICTIFS)</t>
        </is>
      </c>
    </row>
    <row r="3">
      <c r="A3" t="inlineStr">
        <is>
          <t>TAUX HORAIRES PAR POSTE</t>
        </is>
      </c>
      <c r="F3" t="inlineStr">
        <is>
          <t>PARAMÈTRES GÉNÉRAUX</t>
        </is>
      </c>
    </row>
    <row r="4">
      <c r="A4" t="inlineStr">
        <is>
          <t>Poste</t>
        </is>
      </c>
      <c r="B4" t="inlineStr">
        <is>
          <t>Taux SCR</t>
        </is>
      </c>
      <c r="C4" t="inlineStr">
        <is>
          <t>FG Chantier</t>
        </is>
      </c>
      <c r="D4" t="inlineStr">
        <is>
          <t>FG Structure</t>
        </is>
      </c>
      <c r="E4" t="inlineStr">
        <is>
          <t>Sinistre</t>
        </is>
      </c>
      <c r="F4" t="inlineStr">
        <is>
          <t>Total /h</t>
        </is>
      </c>
      <c r="G4" t="inlineStr">
        <is>
          <t>Heures /jour</t>
        </is>
      </c>
      <c r="H4" t="inlineStr">
        <is>
          <t>Total /jour</t>
        </is>
      </c>
    </row>
    <row r="5">
      <c r="A5" t="inlineStr">
        <is>
          <t>Soudeur</t>
        </is>
      </c>
      <c r="B5" t="n">
        <v>70</v>
      </c>
      <c r="C5" t="n">
        <v>5</v>
      </c>
      <c r="D5" t="n">
        <v>20</v>
      </c>
      <c r="E5" t="n">
        <v>5</v>
      </c>
      <c r="F5" t="n">
        <v>100</v>
      </c>
      <c r="G5" t="n">
        <v>10</v>
      </c>
      <c r="H5" t="n">
        <v>1000</v>
      </c>
    </row>
    <row r="6">
      <c r="A6" t="inlineStr">
        <is>
          <t>Tuyauteur</t>
        </is>
      </c>
      <c r="B6" t="n">
        <v>60</v>
      </c>
      <c r="C6" t="n">
        <v>5</v>
      </c>
      <c r="D6" t="n">
        <v>20</v>
      </c>
      <c r="E6" t="n">
        <v>5</v>
      </c>
      <c r="F6" t="n">
        <v>90</v>
      </c>
      <c r="G6" t="n">
        <v>10</v>
      </c>
      <c r="H6" t="n">
        <v>900</v>
      </c>
    </row>
    <row r="7">
      <c r="A7" t="inlineStr">
        <is>
          <t>Manchonneur</t>
        </is>
      </c>
      <c r="B7" t="n">
        <v>50</v>
      </c>
      <c r="C7" t="n">
        <v>5</v>
      </c>
      <c r="D7" t="n">
        <v>20</v>
      </c>
      <c r="E7" t="n">
        <v>5</v>
      </c>
      <c r="F7" t="n">
        <v>80</v>
      </c>
      <c r="G7" t="n">
        <v>10</v>
      </c>
      <c r="H7" t="n">
        <v>800</v>
      </c>
    </row>
    <row r="8">
      <c r="A8" t="inlineStr">
        <is>
          <t>Chauffeur d'engin</t>
        </is>
      </c>
      <c r="B8" t="n">
        <v>55</v>
      </c>
      <c r="C8" t="n">
        <v>5</v>
      </c>
      <c r="D8" t="n">
        <v>20</v>
      </c>
      <c r="E8" t="n">
        <v>5</v>
      </c>
      <c r="F8" t="n">
        <v>85</v>
      </c>
      <c r="G8" t="n">
        <v>10</v>
      </c>
      <c r="H8" t="n">
        <v>850</v>
      </c>
    </row>
    <row r="9">
      <c r="A9" t="inlineStr">
        <is>
          <t>Opérations Spécifiques (OS)</t>
        </is>
      </c>
      <c r="B9" t="n">
        <v>70</v>
      </c>
      <c r="C9" t="n">
        <v>5</v>
      </c>
      <c r="D9" t="n">
        <v>20</v>
      </c>
      <c r="E9" t="n">
        <v>5</v>
      </c>
      <c r="F9" t="n">
        <v>100</v>
      </c>
      <c r="G9" t="n">
        <v>10</v>
      </c>
      <c r="H9" t="n">
        <v>1000</v>
      </c>
    </row>
    <row r="11">
      <c r="A11" t="inlineStr">
        <is>
          <t>COMPOSITION ÉQUIPES TYPE</t>
        </is>
      </c>
    </row>
    <row r="12">
      <c r="A12" t="inlineStr">
        <is>
          <t>Équipe</t>
        </is>
      </c>
      <c r="B12" t="inlineStr">
        <is>
          <t>Soudeur</t>
        </is>
      </c>
      <c r="C12" t="inlineStr">
        <is>
          <t>Tuyauteur</t>
        </is>
      </c>
      <c r="D12" t="inlineStr">
        <is>
          <t>Manchonneur</t>
        </is>
      </c>
      <c r="E12" t="inlineStr">
        <is>
          <t>Chauffeur</t>
        </is>
      </c>
      <c r="F12" t="inlineStr">
        <is>
          <t>Nb pers</t>
        </is>
      </c>
      <c r="G12" t="inlineStr">
        <is>
          <t>Coût /jour</t>
        </is>
      </c>
      <c r="H12" t="inlineStr">
        <is>
          <t>Coût /h</t>
        </is>
      </c>
    </row>
    <row r="13">
      <c r="A13" t="inlineStr">
        <is>
          <t>Soudeur (S)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1000</v>
      </c>
      <c r="H13" t="n">
        <v>100</v>
      </c>
    </row>
    <row r="14">
      <c r="A14" t="inlineStr">
        <is>
          <t>Soudeur + Tuyauteur (S+T)</t>
        </is>
      </c>
      <c r="B14" t="n">
        <v>1</v>
      </c>
      <c r="C14" t="n">
        <v>1</v>
      </c>
      <c r="D14" t="n">
        <v>0</v>
      </c>
      <c r="E14" t="n">
        <v>0</v>
      </c>
      <c r="F14" t="n">
        <v>2</v>
      </c>
      <c r="G14" t="n">
        <v>1900</v>
      </c>
      <c r="H14" t="n">
        <v>190</v>
      </c>
    </row>
    <row r="15">
      <c r="A15" t="inlineStr">
        <is>
          <t>Soudeur + Tuyauteur + Chauffeur (S+T+P)</t>
        </is>
      </c>
      <c r="B15" t="n">
        <v>1</v>
      </c>
      <c r="C15" t="n">
        <v>1</v>
      </c>
      <c r="D15" t="n">
        <v>0</v>
      </c>
      <c r="E15" t="n">
        <v>1</v>
      </c>
      <c r="F15" t="n">
        <v>3</v>
      </c>
      <c r="G15" t="n">
        <v>2750</v>
      </c>
      <c r="H15" t="n">
        <v>275</v>
      </c>
    </row>
    <row r="16">
      <c r="A16" t="inlineStr">
        <is>
          <t>Manchonneur (M)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800</v>
      </c>
      <c r="H16" t="n">
        <v>80</v>
      </c>
    </row>
    <row r="17">
      <c r="A17" t="inlineStr">
        <is>
          <t>Manchonneurs x 2 (M +M)</t>
        </is>
      </c>
      <c r="B17" t="n">
        <v>0</v>
      </c>
      <c r="C17" t="n">
        <v>0</v>
      </c>
      <c r="D17" t="n">
        <v>2</v>
      </c>
      <c r="E17" t="n">
        <v>0</v>
      </c>
      <c r="F17" t="n">
        <v>2</v>
      </c>
      <c r="G17" t="n">
        <v>1600</v>
      </c>
      <c r="H17" t="n">
        <v>160</v>
      </c>
    </row>
    <row r="18">
      <c r="A18" t="inlineStr">
        <is>
          <t>Opérations Spécifiques (OS)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1000</v>
      </c>
      <c r="H18" t="n">
        <v>100</v>
      </c>
    </row>
    <row r="19">
      <c r="A19" t="inlineStr">
        <is>
          <t>OS x 2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2000</v>
      </c>
      <c r="H19" t="n">
        <v>200</v>
      </c>
    </row>
    <row r="20">
      <c r="A20" t="inlineStr">
        <is>
          <t>OS x 3</t>
        </is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3000</v>
      </c>
      <c r="H20" t="n">
        <v>300</v>
      </c>
    </row>
    <row r="22">
      <c r="A22" t="inlineStr">
        <is>
          <t>CADENCES &amp; COÛTS MO PAR SOUDURE / ML</t>
        </is>
      </c>
    </row>
    <row r="23">
      <c r="A23" t="inlineStr">
        <is>
          <t>DN</t>
        </is>
      </c>
      <c r="B23" t="inlineStr">
        <is>
          <t>Pouce</t>
        </is>
      </c>
      <c r="C23" t="inlineStr">
        <is>
          <t>Cadence/jour
1 soudeur</t>
        </is>
      </c>
      <c r="D23" t="inlineStr">
        <is>
          <t>Cadence/jour
Soud+Tuy</t>
        </is>
      </c>
      <c r="E23" t="inlineStr">
        <is>
          <t>Cadence/jour
Soud+Tuy+Chauff</t>
        </is>
      </c>
      <c r="F23" t="inlineStr">
        <is>
          <t>MO / soudure
1 soudeur</t>
        </is>
      </c>
      <c r="G23" t="inlineStr">
        <is>
          <t>MO / soudure
Soud+Tuy</t>
        </is>
      </c>
      <c r="H23" t="inlineStr">
        <is>
          <t>MO / soudure
Soud+Tuy+Chauff</t>
        </is>
      </c>
      <c r="I23" t="inlineStr">
        <is>
          <t>Cadence/jour
2 manchonneurs</t>
        </is>
      </c>
      <c r="J23" t="inlineStr">
        <is>
          <t>Cadence/jour
1 manchonneur</t>
        </is>
      </c>
      <c r="K23" t="inlineStr">
        <is>
          <t>Cadence/jour
2 manchonneurs</t>
        </is>
      </c>
      <c r="L23" t="inlineStr">
        <is>
          <t>Cadence/jour
1 manchonneur</t>
        </is>
      </c>
      <c r="M23" t="inlineStr">
        <is>
          <t>Cadence/jour
2 manchonneurs</t>
        </is>
      </c>
      <c r="N23" t="inlineStr">
        <is>
          <t>Cadence/jour
1 manchonneur</t>
        </is>
      </c>
      <c r="O23" t="inlineStr">
        <is>
          <t>Cadence/jour
2 manchonneurs</t>
        </is>
      </c>
      <c r="P23" t="inlineStr">
        <is>
          <t>Cadence/jour
1 manchonneur</t>
        </is>
      </c>
      <c r="Q23" t="inlineStr">
        <is>
          <t>Cadence/jour
2 manchonneurs</t>
        </is>
      </c>
      <c r="R23" t="inlineStr">
        <is>
          <t>Cadence/jour
1 manchonneur</t>
        </is>
      </c>
      <c r="S23" t="inlineStr">
        <is>
          <t>Cadence/jour
2 manchonneurs</t>
        </is>
      </c>
      <c r="T23" t="inlineStr">
        <is>
          <t>Cadence/jour
1 manchonneur</t>
        </is>
      </c>
      <c r="U23" t="inlineStr">
        <is>
          <t>Dépression
min / manchon</t>
        </is>
      </c>
      <c r="V23" t="inlineStr">
        <is>
          <t>Fils DH
min / manchon</t>
        </is>
      </c>
      <c r="W23" t="inlineStr">
        <is>
          <t>Ressuage
min / manchon</t>
        </is>
      </c>
      <c r="X23" t="inlineStr">
        <is>
          <t>Itopo
min / manchon</t>
        </is>
      </c>
      <c r="Y23" t="inlineStr">
        <is>
          <t>Pression
min / manchon</t>
        </is>
      </c>
      <c r="Z23" t="inlineStr">
        <is>
          <t>Pose coussin
min / coussin</t>
        </is>
      </c>
    </row>
    <row r="24">
      <c r="A24" t="n">
        <v>20</v>
      </c>
      <c r="B24" t="n">
        <v>1</v>
      </c>
      <c r="C24" t="n">
        <v>20</v>
      </c>
      <c r="D24" t="n">
        <v>40</v>
      </c>
      <c r="E24" t="n">
        <v>40</v>
      </c>
      <c r="F24" t="n">
        <v>50</v>
      </c>
      <c r="G24" t="n">
        <v>47.5</v>
      </c>
      <c r="H24" t="n">
        <v>68.75</v>
      </c>
      <c r="I24" t="n">
        <v>40</v>
      </c>
      <c r="J24" t="n">
        <v>20</v>
      </c>
      <c r="K24" t="n">
        <v>40</v>
      </c>
      <c r="L24" t="n">
        <v>20</v>
      </c>
      <c r="M24" t="n">
        <v>40</v>
      </c>
      <c r="N24" t="n">
        <v>20</v>
      </c>
      <c r="O24" t="n">
        <v>38</v>
      </c>
      <c r="P24" t="n">
        <v>19</v>
      </c>
      <c r="Q24" t="n">
        <v>38</v>
      </c>
      <c r="R24" t="n">
        <v>19</v>
      </c>
      <c r="S24" t="n">
        <v>38</v>
      </c>
      <c r="T24" t="n">
        <v>19</v>
      </c>
      <c r="U24" t="n">
        <v>5</v>
      </c>
      <c r="V24" t="n">
        <v>3</v>
      </c>
      <c r="W24" t="n">
        <v>2</v>
      </c>
      <c r="X24" t="n">
        <v>2</v>
      </c>
      <c r="Y24" t="n">
        <v>3</v>
      </c>
      <c r="Z24" t="n">
        <v>2</v>
      </c>
    </row>
    <row r="25">
      <c r="A25" t="n">
        <v>25</v>
      </c>
      <c r="B25" t="n">
        <v>1</v>
      </c>
      <c r="C25" t="n">
        <v>20</v>
      </c>
      <c r="D25" t="n">
        <v>40</v>
      </c>
      <c r="E25" t="n">
        <v>40</v>
      </c>
      <c r="F25" t="n">
        <v>50</v>
      </c>
      <c r="G25" t="n">
        <v>47.5</v>
      </c>
      <c r="H25" t="n">
        <v>68.75</v>
      </c>
      <c r="I25" t="n">
        <v>40</v>
      </c>
      <c r="J25" t="n">
        <v>20</v>
      </c>
      <c r="K25" t="n">
        <v>40</v>
      </c>
      <c r="L25" t="n">
        <v>20</v>
      </c>
      <c r="M25" t="n">
        <v>40</v>
      </c>
      <c r="N25" t="n">
        <v>20</v>
      </c>
      <c r="O25" t="n">
        <v>38</v>
      </c>
      <c r="P25" t="n">
        <v>19</v>
      </c>
      <c r="Q25" t="n">
        <v>38</v>
      </c>
      <c r="R25" t="n">
        <v>19</v>
      </c>
      <c r="S25" t="n">
        <v>38</v>
      </c>
      <c r="T25" t="n">
        <v>19</v>
      </c>
      <c r="U25" t="n">
        <v>5</v>
      </c>
      <c r="V25" t="n">
        <v>3</v>
      </c>
      <c r="W25" t="n">
        <v>2</v>
      </c>
      <c r="X25" t="n">
        <v>2</v>
      </c>
      <c r="Y25" t="n">
        <v>3</v>
      </c>
    </row>
    <row r="26">
      <c r="A26" t="n">
        <v>32</v>
      </c>
      <c r="B26" t="n">
        <v>1.25</v>
      </c>
      <c r="C26" t="n">
        <v>16</v>
      </c>
      <c r="D26" t="n">
        <v>32</v>
      </c>
      <c r="E26" t="n">
        <v>32</v>
      </c>
      <c r="F26" t="n">
        <v>62.5</v>
      </c>
      <c r="G26" t="n">
        <v>59.375</v>
      </c>
      <c r="H26" t="n">
        <v>85.9375</v>
      </c>
      <c r="I26" t="n">
        <v>32</v>
      </c>
      <c r="J26" t="n">
        <v>16</v>
      </c>
      <c r="K26" t="n">
        <v>32</v>
      </c>
      <c r="L26" t="n">
        <v>16</v>
      </c>
      <c r="M26" t="n">
        <v>32</v>
      </c>
      <c r="N26" t="n">
        <v>16</v>
      </c>
      <c r="O26" t="n">
        <v>30</v>
      </c>
      <c r="P26" t="n">
        <v>15</v>
      </c>
      <c r="Q26" t="n">
        <v>30</v>
      </c>
      <c r="R26" t="n">
        <v>15</v>
      </c>
      <c r="S26" t="n">
        <v>30</v>
      </c>
      <c r="T26" t="n">
        <v>15</v>
      </c>
      <c r="U26" t="n">
        <v>5</v>
      </c>
      <c r="V26" t="n">
        <v>3</v>
      </c>
      <c r="W26" t="n">
        <v>2</v>
      </c>
      <c r="X26" t="n">
        <v>2</v>
      </c>
      <c r="Y26" t="n">
        <v>3</v>
      </c>
    </row>
    <row r="27">
      <c r="A27" t="n">
        <v>40</v>
      </c>
      <c r="B27" t="n">
        <v>1.5</v>
      </c>
      <c r="C27" t="n">
        <v>13</v>
      </c>
      <c r="D27" t="n">
        <v>27</v>
      </c>
      <c r="E27" t="n">
        <v>27</v>
      </c>
      <c r="F27" t="n">
        <v>76.92307692307692</v>
      </c>
      <c r="G27" t="n">
        <v>70.37037037037037</v>
      </c>
      <c r="H27" t="n">
        <v>101.8518518518518</v>
      </c>
      <c r="I27" t="n">
        <v>27</v>
      </c>
      <c r="J27" t="n">
        <v>13</v>
      </c>
      <c r="K27" t="n">
        <v>27</v>
      </c>
      <c r="L27" t="n">
        <v>13</v>
      </c>
      <c r="M27" t="n">
        <v>27</v>
      </c>
      <c r="N27" t="n">
        <v>13</v>
      </c>
      <c r="O27" t="n">
        <v>25</v>
      </c>
      <c r="P27" t="n">
        <v>12</v>
      </c>
      <c r="Q27" t="n">
        <v>25</v>
      </c>
      <c r="R27" t="n">
        <v>12</v>
      </c>
      <c r="S27" t="n">
        <v>25</v>
      </c>
      <c r="T27" t="n">
        <v>12</v>
      </c>
      <c r="U27" t="n">
        <v>5</v>
      </c>
      <c r="V27" t="n">
        <v>3</v>
      </c>
      <c r="W27" t="n">
        <v>2</v>
      </c>
      <c r="X27" t="n">
        <v>2</v>
      </c>
      <c r="Y27" t="n">
        <v>3</v>
      </c>
    </row>
    <row r="28">
      <c r="A28" t="n">
        <v>50</v>
      </c>
      <c r="B28" t="n">
        <v>2</v>
      </c>
      <c r="C28" t="n">
        <v>10</v>
      </c>
      <c r="D28" t="n">
        <v>20</v>
      </c>
      <c r="E28" t="n">
        <v>20</v>
      </c>
      <c r="F28" t="n">
        <v>100</v>
      </c>
      <c r="G28" t="n">
        <v>95</v>
      </c>
      <c r="H28" t="n">
        <v>137.5</v>
      </c>
      <c r="I28" t="n">
        <v>20</v>
      </c>
      <c r="J28" t="n">
        <v>10</v>
      </c>
      <c r="K28" t="n">
        <v>20</v>
      </c>
      <c r="L28" t="n">
        <v>10</v>
      </c>
      <c r="M28" t="n">
        <v>20</v>
      </c>
      <c r="N28" t="n">
        <v>10</v>
      </c>
      <c r="O28" t="n">
        <v>18</v>
      </c>
      <c r="P28" t="n">
        <v>9</v>
      </c>
      <c r="Q28" t="n">
        <v>18</v>
      </c>
      <c r="R28" t="n">
        <v>9</v>
      </c>
      <c r="S28" t="n">
        <v>18</v>
      </c>
      <c r="T28" t="n">
        <v>9</v>
      </c>
      <c r="U28" t="n">
        <v>5</v>
      </c>
      <c r="V28" t="n">
        <v>3</v>
      </c>
      <c r="W28" t="n">
        <v>2</v>
      </c>
      <c r="X28" t="n">
        <v>2</v>
      </c>
      <c r="Y28" t="n">
        <v>3</v>
      </c>
    </row>
    <row r="29">
      <c r="A29" t="n">
        <v>65</v>
      </c>
      <c r="B29" t="n">
        <v>2.5</v>
      </c>
      <c r="C29" t="n">
        <v>8</v>
      </c>
      <c r="D29" t="n">
        <v>16</v>
      </c>
      <c r="E29" t="n">
        <v>16</v>
      </c>
      <c r="F29" t="n">
        <v>125</v>
      </c>
      <c r="G29" t="n">
        <v>118.75</v>
      </c>
      <c r="H29" t="n">
        <v>171.875</v>
      </c>
      <c r="I29" t="n">
        <v>16</v>
      </c>
      <c r="J29" t="n">
        <v>8</v>
      </c>
      <c r="K29" t="n">
        <v>16</v>
      </c>
      <c r="L29" t="n">
        <v>8</v>
      </c>
      <c r="M29" t="n">
        <v>16</v>
      </c>
      <c r="N29" t="n">
        <v>8</v>
      </c>
      <c r="O29" t="n">
        <v>14</v>
      </c>
      <c r="P29" t="n">
        <v>7</v>
      </c>
      <c r="Q29" t="n">
        <v>14</v>
      </c>
      <c r="R29" t="n">
        <v>7</v>
      </c>
      <c r="S29" t="n">
        <v>14</v>
      </c>
      <c r="T29" t="n">
        <v>7</v>
      </c>
      <c r="U29" t="n">
        <v>5</v>
      </c>
      <c r="V29" t="n">
        <v>3</v>
      </c>
      <c r="W29" t="n">
        <v>2</v>
      </c>
      <c r="X29" t="n">
        <v>2</v>
      </c>
      <c r="Y29" t="n">
        <v>3</v>
      </c>
    </row>
    <row r="30">
      <c r="A30" t="n">
        <v>80</v>
      </c>
      <c r="B30" t="n">
        <v>3</v>
      </c>
      <c r="C30" t="n">
        <v>7</v>
      </c>
      <c r="D30" t="n">
        <v>13</v>
      </c>
      <c r="E30" t="n">
        <v>13</v>
      </c>
      <c r="F30" t="n">
        <v>142.8571428571429</v>
      </c>
      <c r="G30" t="n">
        <v>146.1538461538462</v>
      </c>
      <c r="H30" t="n">
        <v>211.5384615384615</v>
      </c>
      <c r="I30" t="n">
        <v>13</v>
      </c>
      <c r="J30" t="n">
        <v>7</v>
      </c>
      <c r="K30" t="n">
        <v>13</v>
      </c>
      <c r="L30" t="n">
        <v>7</v>
      </c>
      <c r="M30" t="n">
        <v>13</v>
      </c>
      <c r="N30" t="n">
        <v>7</v>
      </c>
      <c r="O30" t="n">
        <v>11</v>
      </c>
      <c r="P30" t="n">
        <v>6</v>
      </c>
      <c r="Q30" t="n">
        <v>11</v>
      </c>
      <c r="R30" t="n">
        <v>6</v>
      </c>
      <c r="S30" t="n">
        <v>11</v>
      </c>
      <c r="T30" t="n">
        <v>6</v>
      </c>
      <c r="U30" t="n">
        <v>5</v>
      </c>
      <c r="V30" t="n">
        <v>3</v>
      </c>
      <c r="W30" t="n">
        <v>2</v>
      </c>
      <c r="X30" t="n">
        <v>2</v>
      </c>
      <c r="Y30" t="n">
        <v>3</v>
      </c>
    </row>
    <row r="31">
      <c r="A31" t="n">
        <v>100</v>
      </c>
      <c r="B31" t="n">
        <v>4</v>
      </c>
      <c r="C31" t="n">
        <v>5</v>
      </c>
      <c r="D31" t="n">
        <v>10</v>
      </c>
      <c r="E31" t="n">
        <v>10</v>
      </c>
      <c r="F31" t="n">
        <v>200</v>
      </c>
      <c r="G31" t="n">
        <v>190</v>
      </c>
      <c r="H31" t="n">
        <v>275</v>
      </c>
      <c r="I31" t="n">
        <v>10</v>
      </c>
      <c r="J31" t="n">
        <v>5</v>
      </c>
      <c r="K31" t="n">
        <v>10</v>
      </c>
      <c r="L31" t="n">
        <v>5</v>
      </c>
      <c r="M31" t="n">
        <v>10</v>
      </c>
      <c r="N31" t="n">
        <v>5</v>
      </c>
      <c r="O31" t="n">
        <v>8</v>
      </c>
      <c r="P31" t="n">
        <v>4</v>
      </c>
      <c r="Q31" t="n">
        <v>8</v>
      </c>
      <c r="R31" t="n">
        <v>4</v>
      </c>
      <c r="S31" t="n">
        <v>8</v>
      </c>
      <c r="T31" t="n">
        <v>4</v>
      </c>
      <c r="U31" t="n">
        <v>5</v>
      </c>
      <c r="V31" t="n">
        <v>3</v>
      </c>
      <c r="W31" t="n">
        <v>2</v>
      </c>
      <c r="X31" t="n">
        <v>2</v>
      </c>
      <c r="Y31" t="n">
        <v>3</v>
      </c>
    </row>
    <row r="32">
      <c r="A32" t="n">
        <v>125</v>
      </c>
      <c r="B32" t="n">
        <v>5</v>
      </c>
      <c r="C32" t="n">
        <v>4</v>
      </c>
      <c r="D32" t="n">
        <v>8</v>
      </c>
      <c r="E32" t="n">
        <v>8</v>
      </c>
      <c r="F32" t="n">
        <v>250</v>
      </c>
      <c r="G32" t="n">
        <v>237.5</v>
      </c>
      <c r="H32" t="n">
        <v>343.75</v>
      </c>
      <c r="I32" t="n">
        <v>8</v>
      </c>
      <c r="J32" t="n">
        <v>4</v>
      </c>
      <c r="K32" t="n">
        <v>8</v>
      </c>
      <c r="L32" t="n">
        <v>4</v>
      </c>
      <c r="M32" t="n">
        <v>8</v>
      </c>
      <c r="N32" t="n">
        <v>4</v>
      </c>
      <c r="O32" t="n">
        <v>6</v>
      </c>
      <c r="P32" t="n">
        <v>3</v>
      </c>
      <c r="Q32" t="n">
        <v>6</v>
      </c>
      <c r="R32" t="n">
        <v>3</v>
      </c>
      <c r="S32" t="n">
        <v>6</v>
      </c>
      <c r="T32" t="n">
        <v>3</v>
      </c>
      <c r="U32" t="n">
        <v>5</v>
      </c>
      <c r="V32" t="n">
        <v>3</v>
      </c>
      <c r="W32" t="n">
        <v>2</v>
      </c>
      <c r="X32" t="n">
        <v>2</v>
      </c>
      <c r="Y32" t="n">
        <v>3</v>
      </c>
    </row>
    <row r="33">
      <c r="A33" t="n">
        <v>150</v>
      </c>
      <c r="B33" t="n">
        <v>6</v>
      </c>
      <c r="C33" t="n">
        <v>3</v>
      </c>
      <c r="D33" t="n">
        <v>7</v>
      </c>
      <c r="E33" t="n">
        <v>7</v>
      </c>
      <c r="F33" t="n">
        <v>333.3333333333333</v>
      </c>
      <c r="G33" t="n">
        <v>271.4285714285714</v>
      </c>
      <c r="H33" t="n">
        <v>392.8571428571428</v>
      </c>
      <c r="I33" t="n">
        <v>7</v>
      </c>
      <c r="J33" t="n">
        <v>3</v>
      </c>
      <c r="K33" t="n">
        <v>7</v>
      </c>
      <c r="L33" t="n">
        <v>3</v>
      </c>
      <c r="M33" t="n">
        <v>7</v>
      </c>
      <c r="N33" t="n">
        <v>3</v>
      </c>
      <c r="O33" t="n">
        <v>5</v>
      </c>
      <c r="P33" t="n">
        <v>2</v>
      </c>
      <c r="Q33" t="n">
        <v>5</v>
      </c>
      <c r="R33" t="n">
        <v>2</v>
      </c>
      <c r="S33" t="n">
        <v>5</v>
      </c>
      <c r="T33" t="n">
        <v>2</v>
      </c>
      <c r="U33" t="n">
        <v>5</v>
      </c>
      <c r="V33" t="n">
        <v>3</v>
      </c>
      <c r="W33" t="n">
        <v>2</v>
      </c>
      <c r="X33" t="n">
        <v>2</v>
      </c>
      <c r="Y33" t="n">
        <v>3</v>
      </c>
    </row>
    <row r="34">
      <c r="A34" t="n">
        <v>200</v>
      </c>
      <c r="B34" t="n">
        <v>8</v>
      </c>
      <c r="C34" t="n">
        <v>2</v>
      </c>
      <c r="D34" t="n">
        <v>5</v>
      </c>
      <c r="E34" t="n">
        <v>5</v>
      </c>
      <c r="F34" t="n">
        <v>500</v>
      </c>
      <c r="G34" t="n">
        <v>380</v>
      </c>
      <c r="H34" t="n">
        <v>550</v>
      </c>
      <c r="I34" t="n">
        <v>5</v>
      </c>
      <c r="J34" t="n">
        <v>2</v>
      </c>
      <c r="K34" t="n">
        <v>5</v>
      </c>
      <c r="L34" t="n">
        <v>2</v>
      </c>
      <c r="M34" t="n">
        <v>5</v>
      </c>
      <c r="N34" t="n">
        <v>2</v>
      </c>
      <c r="O34" t="n">
        <v>3</v>
      </c>
      <c r="P34" t="n">
        <v>1</v>
      </c>
      <c r="Q34" t="n">
        <v>3</v>
      </c>
      <c r="R34" t="n">
        <v>1</v>
      </c>
      <c r="S34" t="n">
        <v>3</v>
      </c>
      <c r="T34" t="n">
        <v>1</v>
      </c>
      <c r="U34" t="n">
        <v>5</v>
      </c>
      <c r="V34" t="n">
        <v>3</v>
      </c>
      <c r="W34" t="n">
        <v>2</v>
      </c>
      <c r="X34" t="n">
        <v>2</v>
      </c>
      <c r="Y34" t="n">
        <v>3</v>
      </c>
    </row>
    <row r="35">
      <c r="A35" t="n">
        <v>250</v>
      </c>
      <c r="B35" t="n">
        <v>10</v>
      </c>
      <c r="C35" t="n">
        <v>2</v>
      </c>
      <c r="D35" t="n">
        <v>4</v>
      </c>
      <c r="E35" t="n">
        <v>4</v>
      </c>
      <c r="F35" t="n">
        <v>500</v>
      </c>
      <c r="G35" t="n">
        <v>475</v>
      </c>
      <c r="H35" t="n">
        <v>687.5</v>
      </c>
      <c r="I35" t="n">
        <v>4</v>
      </c>
      <c r="J35" t="n">
        <v>2</v>
      </c>
      <c r="K35" t="n">
        <v>4</v>
      </c>
      <c r="L35" t="n">
        <v>2</v>
      </c>
      <c r="M35" t="n">
        <v>4</v>
      </c>
      <c r="N35" t="n">
        <v>2</v>
      </c>
      <c r="O35" t="n">
        <v>2</v>
      </c>
      <c r="P35" t="n">
        <v>1</v>
      </c>
      <c r="Q35" t="n">
        <v>2</v>
      </c>
      <c r="R35" t="n">
        <v>1</v>
      </c>
      <c r="S35" t="n">
        <v>2</v>
      </c>
      <c r="T35" t="n">
        <v>1</v>
      </c>
      <c r="U35" t="n">
        <v>5</v>
      </c>
      <c r="V35" t="n">
        <v>3</v>
      </c>
      <c r="W35" t="n">
        <v>2</v>
      </c>
      <c r="X35" t="n">
        <v>2</v>
      </c>
      <c r="Y35" t="n">
        <v>3</v>
      </c>
    </row>
    <row r="36">
      <c r="A36" t="n">
        <v>300</v>
      </c>
      <c r="B36" t="n">
        <v>12</v>
      </c>
      <c r="C36" t="n">
        <v>2</v>
      </c>
      <c r="D36" t="n">
        <v>3</v>
      </c>
      <c r="E36" t="n">
        <v>3</v>
      </c>
      <c r="F36" t="n">
        <v>500</v>
      </c>
      <c r="G36" t="n">
        <v>633.3333333333334</v>
      </c>
      <c r="H36" t="n">
        <v>916.6666666666666</v>
      </c>
      <c r="I36" t="n">
        <v>3</v>
      </c>
      <c r="J36" t="n">
        <v>2</v>
      </c>
      <c r="K36" t="n">
        <v>3</v>
      </c>
      <c r="L36" t="n">
        <v>2</v>
      </c>
      <c r="M36" t="n">
        <v>3</v>
      </c>
      <c r="N36" t="n">
        <v>2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5</v>
      </c>
      <c r="V36" t="n">
        <v>3</v>
      </c>
      <c r="W36" t="n">
        <v>2</v>
      </c>
      <c r="X36" t="n">
        <v>2</v>
      </c>
      <c r="Y36" t="n">
        <v>3</v>
      </c>
    </row>
    <row r="37">
      <c r="A37" t="n">
        <v>350</v>
      </c>
      <c r="B37" t="n">
        <v>14</v>
      </c>
      <c r="C37" t="n">
        <v>1</v>
      </c>
      <c r="D37" t="n">
        <v>3</v>
      </c>
      <c r="E37" t="n">
        <v>3</v>
      </c>
      <c r="F37" t="n">
        <v>1000</v>
      </c>
      <c r="G37" t="n">
        <v>633.3333333333334</v>
      </c>
      <c r="H37" t="n">
        <v>916.6666666666666</v>
      </c>
      <c r="I37" t="n">
        <v>3</v>
      </c>
      <c r="J37" t="n">
        <v>1</v>
      </c>
      <c r="K37" t="n">
        <v>3</v>
      </c>
      <c r="L37" t="n">
        <v>1</v>
      </c>
      <c r="M37" t="n">
        <v>3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5</v>
      </c>
      <c r="V37" t="n">
        <v>3</v>
      </c>
      <c r="W37" t="n">
        <v>2</v>
      </c>
      <c r="X37" t="n">
        <v>2</v>
      </c>
      <c r="Y37" t="n">
        <v>3</v>
      </c>
    </row>
    <row r="38">
      <c r="A38" t="n">
        <v>400</v>
      </c>
      <c r="B38" t="n">
        <v>16</v>
      </c>
      <c r="C38" t="n">
        <v>1</v>
      </c>
      <c r="D38" t="n">
        <v>2</v>
      </c>
      <c r="E38" t="n">
        <v>2</v>
      </c>
      <c r="F38" t="n">
        <v>1000</v>
      </c>
      <c r="G38" t="n">
        <v>950</v>
      </c>
      <c r="H38" t="n">
        <v>1375</v>
      </c>
      <c r="I38" t="n">
        <v>2</v>
      </c>
      <c r="J38" t="n">
        <v>1</v>
      </c>
      <c r="K38" t="n">
        <v>2</v>
      </c>
      <c r="L38" t="n">
        <v>1</v>
      </c>
      <c r="M38" t="n">
        <v>2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5</v>
      </c>
      <c r="V38" t="n">
        <v>3</v>
      </c>
      <c r="W38" t="n">
        <v>2</v>
      </c>
      <c r="X38" t="n">
        <v>2</v>
      </c>
      <c r="Y38" t="n">
        <v>3</v>
      </c>
    </row>
    <row r="39">
      <c r="A39" t="n">
        <v>450</v>
      </c>
      <c r="B39" t="n">
        <v>18</v>
      </c>
      <c r="C39" t="n">
        <v>1</v>
      </c>
      <c r="D39" t="n">
        <v>2</v>
      </c>
      <c r="E39" t="n">
        <v>2</v>
      </c>
      <c r="F39" t="n">
        <v>1000</v>
      </c>
      <c r="G39" t="n">
        <v>950</v>
      </c>
      <c r="H39" t="n">
        <v>1375</v>
      </c>
      <c r="I39" t="n">
        <v>2</v>
      </c>
      <c r="J39" t="n">
        <v>1</v>
      </c>
      <c r="K39" t="n">
        <v>2</v>
      </c>
      <c r="L39" t="n">
        <v>1</v>
      </c>
      <c r="M39" t="n">
        <v>2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5</v>
      </c>
      <c r="V39" t="n">
        <v>3</v>
      </c>
      <c r="W39" t="n">
        <v>2</v>
      </c>
      <c r="X39" t="n">
        <v>2</v>
      </c>
      <c r="Y39" t="n">
        <v>3</v>
      </c>
    </row>
    <row r="40">
      <c r="A40" t="n">
        <v>500</v>
      </c>
      <c r="B40" t="n">
        <v>20</v>
      </c>
      <c r="C40" t="n">
        <v>1</v>
      </c>
      <c r="D40" t="n">
        <v>2</v>
      </c>
      <c r="E40" t="n">
        <v>2</v>
      </c>
      <c r="F40" t="n">
        <v>1000</v>
      </c>
      <c r="G40" t="n">
        <v>950</v>
      </c>
      <c r="H40" t="n">
        <v>1375</v>
      </c>
      <c r="I40" t="n">
        <v>2</v>
      </c>
      <c r="J40" t="n">
        <v>1</v>
      </c>
      <c r="K40" t="n">
        <v>2</v>
      </c>
      <c r="L40" t="n">
        <v>1</v>
      </c>
      <c r="M40" t="n">
        <v>2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5</v>
      </c>
      <c r="V40" t="n">
        <v>3</v>
      </c>
      <c r="W40" t="n">
        <v>2</v>
      </c>
      <c r="X40" t="n">
        <v>2</v>
      </c>
      <c r="Y40" t="n">
        <v>3</v>
      </c>
    </row>
    <row r="41">
      <c r="A41" t="n">
        <v>600</v>
      </c>
      <c r="B41" t="n">
        <v>24</v>
      </c>
      <c r="C41" t="n">
        <v>1</v>
      </c>
      <c r="D41" t="n">
        <v>2</v>
      </c>
      <c r="E41" t="n">
        <v>2</v>
      </c>
      <c r="F41" t="n">
        <v>1000</v>
      </c>
      <c r="G41" t="n">
        <v>950</v>
      </c>
      <c r="H41" t="n">
        <v>1375</v>
      </c>
      <c r="I41" t="n">
        <v>2</v>
      </c>
      <c r="J41" t="n">
        <v>1</v>
      </c>
      <c r="K41" t="n">
        <v>2</v>
      </c>
      <c r="L41" t="n">
        <v>1</v>
      </c>
      <c r="M41" t="n">
        <v>2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5</v>
      </c>
      <c r="V41" t="n">
        <v>3</v>
      </c>
      <c r="W41" t="n">
        <v>2</v>
      </c>
      <c r="X41" t="n">
        <v>2</v>
      </c>
      <c r="Y41" t="n">
        <v>3</v>
      </c>
    </row>
    <row r="43">
      <c r="A43" t="inlineStr">
        <is>
          <t>TRAVAUX DE NUIT — Surcoût par poste</t>
        </is>
      </c>
    </row>
    <row r="62">
      <c r="A62" t="inlineStr">
        <is>
          <t>MO DOE / DOCUMENTS / DIVERS</t>
        </is>
      </c>
    </row>
    <row r="64">
      <c r="A64" t="inlineStr">
        <is>
          <t>Désignation</t>
        </is>
      </c>
      <c r="B64" t="inlineStr">
        <is>
          <t>Montant</t>
        </is>
      </c>
      <c r="C64" t="inlineStr">
        <is>
          <t>Unité</t>
        </is>
      </c>
    </row>
    <row r="65">
      <c r="A65" t="inlineStr">
        <is>
          <t>Établissement DOE</t>
        </is>
      </c>
      <c r="B65" t="n">
        <v>500</v>
      </c>
      <c r="C65" t="inlineStr">
        <is>
          <t>forfait</t>
        </is>
      </c>
    </row>
    <row r="66">
      <c r="A66" t="inlineStr">
        <is>
          <t>Établissement Carnet soudures</t>
        </is>
      </c>
      <c r="B66" t="n">
        <v>1000</v>
      </c>
      <c r="C66" t="inlineStr">
        <is>
          <t>forfait</t>
        </is>
      </c>
    </row>
    <row r="67">
      <c r="A67" t="inlineStr">
        <is>
          <t>Plan isométrique par SCR</t>
        </is>
      </c>
      <c r="B67" t="n">
        <v>800</v>
      </c>
      <c r="C67" t="inlineStr">
        <is>
          <t>forfait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FOURNITURE — PRIX UNITAIRES ACHAT (MAQUETTE DE TEST)</t>
        </is>
      </c>
    </row>
    <row r="2">
      <c r="A2" t="inlineStr">
        <is>
          <t>Mise à jour : test — V99</t>
        </is>
      </c>
    </row>
    <row r="4">
      <c r="A4" t="inlineStr">
        <is>
          <t>1. VANNES À SOUDER</t>
        </is>
      </c>
    </row>
    <row r="6">
      <c r="A6" t="inlineStr">
        <is>
          <t>DN</t>
        </is>
      </c>
      <c r="B6" t="inlineStr">
        <is>
          <t>Vanne BS PI PN25 sans réducteur</t>
        </is>
      </c>
      <c r="C6" t="inlineStr">
        <is>
          <t>Vanne BS PI PN25 avec réducteur</t>
        </is>
      </c>
      <c r="D6" t="inlineStr">
        <is>
          <t>Vanne BS PR PN25</t>
        </is>
      </c>
      <c r="E6" t="inlineStr">
        <is>
          <t>Vanne BS BW/F PN25</t>
        </is>
      </c>
      <c r="F6" t="inlineStr">
        <is>
          <t>Vanne BS PEC PN25</t>
        </is>
      </c>
      <c r="G6" t="inlineStr">
        <is>
          <t>Vanne BS PI PN40 sans réducteur</t>
        </is>
      </c>
    </row>
    <row r="7">
      <c r="A7" t="n">
        <v>20</v>
      </c>
      <c r="B7" t="n">
        <v>30</v>
      </c>
      <c r="C7" t="n">
        <v>40</v>
      </c>
      <c r="D7" t="n">
        <v>50</v>
      </c>
      <c r="E7" t="n">
        <v>60</v>
      </c>
      <c r="F7" t="n">
        <v>70</v>
      </c>
      <c r="G7" t="n">
        <v>80</v>
      </c>
    </row>
    <row r="8">
      <c r="A8" t="n">
        <v>25</v>
      </c>
      <c r="B8" t="n">
        <v>35</v>
      </c>
      <c r="C8" t="n">
        <v>45</v>
      </c>
      <c r="D8" t="n">
        <v>55</v>
      </c>
      <c r="E8" t="n">
        <v>65</v>
      </c>
      <c r="F8" t="n">
        <v>75</v>
      </c>
      <c r="G8" t="n">
        <v>85</v>
      </c>
    </row>
    <row r="9">
      <c r="A9" t="n">
        <v>32</v>
      </c>
      <c r="B9" t="n">
        <v>42</v>
      </c>
      <c r="C9" t="n">
        <v>52</v>
      </c>
      <c r="D9" t="n">
        <v>62</v>
      </c>
      <c r="E9" t="n">
        <v>72</v>
      </c>
      <c r="F9" t="n">
        <v>82</v>
      </c>
      <c r="G9" t="n">
        <v>92</v>
      </c>
    </row>
    <row r="10">
      <c r="A10" t="n">
        <v>40</v>
      </c>
      <c r="B10" t="n">
        <v>50</v>
      </c>
      <c r="C10" t="n">
        <v>60</v>
      </c>
      <c r="D10" t="n">
        <v>70</v>
      </c>
      <c r="E10" t="n">
        <v>80</v>
      </c>
      <c r="F10" t="n">
        <v>90</v>
      </c>
      <c r="G10" t="n">
        <v>100</v>
      </c>
    </row>
    <row r="11">
      <c r="A11" t="n">
        <v>50</v>
      </c>
      <c r="B11" t="n">
        <v>60</v>
      </c>
      <c r="C11" t="n">
        <v>70</v>
      </c>
      <c r="D11" t="n">
        <v>80</v>
      </c>
      <c r="E11" t="n">
        <v>90</v>
      </c>
      <c r="F11" t="n">
        <v>100</v>
      </c>
      <c r="G11" t="n">
        <v>110</v>
      </c>
    </row>
    <row r="12">
      <c r="A12" t="n">
        <v>65</v>
      </c>
      <c r="B12" t="n">
        <v>75</v>
      </c>
      <c r="C12" t="n">
        <v>85</v>
      </c>
      <c r="D12" t="n">
        <v>95</v>
      </c>
      <c r="E12" t="n">
        <v>105</v>
      </c>
      <c r="F12" t="n">
        <v>115</v>
      </c>
      <c r="G12" t="n">
        <v>125</v>
      </c>
    </row>
    <row r="13">
      <c r="A13" t="n">
        <v>80</v>
      </c>
      <c r="B13" t="n">
        <v>90</v>
      </c>
      <c r="C13" t="n">
        <v>100</v>
      </c>
      <c r="D13" t="n">
        <v>110</v>
      </c>
      <c r="E13" t="n">
        <v>120</v>
      </c>
      <c r="F13" t="n">
        <v>130</v>
      </c>
      <c r="G13" t="n">
        <v>140</v>
      </c>
    </row>
    <row r="14">
      <c r="A14" t="n">
        <v>100</v>
      </c>
      <c r="B14" t="n">
        <v>110</v>
      </c>
      <c r="C14" t="n">
        <v>120</v>
      </c>
      <c r="D14" t="n">
        <v>130</v>
      </c>
      <c r="E14" t="n">
        <v>140</v>
      </c>
      <c r="F14" t="n">
        <v>150</v>
      </c>
      <c r="G14" t="n">
        <v>160</v>
      </c>
    </row>
    <row r="15">
      <c r="A15" t="n">
        <v>125</v>
      </c>
      <c r="B15" t="n">
        <v>135</v>
      </c>
      <c r="C15" t="n">
        <v>145</v>
      </c>
      <c r="D15" t="n">
        <v>155</v>
      </c>
      <c r="E15" t="n">
        <v>165</v>
      </c>
      <c r="F15" t="n">
        <v>175</v>
      </c>
      <c r="G15" t="n">
        <v>185</v>
      </c>
    </row>
    <row r="16">
      <c r="A16" t="n">
        <v>150</v>
      </c>
      <c r="B16" t="n">
        <v>160</v>
      </c>
      <c r="C16" t="n">
        <v>170</v>
      </c>
      <c r="D16" t="n">
        <v>180</v>
      </c>
      <c r="E16" t="n">
        <v>190</v>
      </c>
      <c r="F16" t="n">
        <v>200</v>
      </c>
      <c r="G16" t="n">
        <v>210</v>
      </c>
    </row>
    <row r="17">
      <c r="A17" t="n">
        <v>200</v>
      </c>
      <c r="B17" t="n">
        <v>210</v>
      </c>
      <c r="C17" t="n">
        <v>220</v>
      </c>
      <c r="D17" t="n">
        <v>230</v>
      </c>
      <c r="E17" t="n">
        <v>240</v>
      </c>
      <c r="F17" t="n">
        <v>250</v>
      </c>
      <c r="G17" t="n">
        <v>260</v>
      </c>
    </row>
    <row r="18">
      <c r="A18" t="n">
        <v>250</v>
      </c>
      <c r="B18" t="n">
        <v>260</v>
      </c>
      <c r="C18" t="n">
        <v>270</v>
      </c>
      <c r="D18" t="n">
        <v>280</v>
      </c>
      <c r="E18" t="n">
        <v>290</v>
      </c>
      <c r="F18" t="n">
        <v>300</v>
      </c>
      <c r="G18" t="n">
        <v>310</v>
      </c>
    </row>
    <row r="19">
      <c r="A19" t="n">
        <v>300</v>
      </c>
      <c r="B19" t="n">
        <v>310</v>
      </c>
      <c r="C19" t="n">
        <v>320</v>
      </c>
      <c r="D19" t="n">
        <v>330</v>
      </c>
      <c r="E19" t="n">
        <v>340</v>
      </c>
      <c r="F19" t="n">
        <v>350</v>
      </c>
      <c r="G19" t="n">
        <v>360</v>
      </c>
    </row>
    <row r="20">
      <c r="A20" t="n">
        <v>350</v>
      </c>
      <c r="B20" t="n">
        <v>360</v>
      </c>
      <c r="C20" t="n">
        <v>370</v>
      </c>
      <c r="D20" t="n">
        <v>380</v>
      </c>
      <c r="E20" t="n">
        <v>390</v>
      </c>
      <c r="F20" t="n">
        <v>400</v>
      </c>
      <c r="G20" t="n">
        <v>410</v>
      </c>
    </row>
    <row r="21">
      <c r="A21" t="n">
        <v>400</v>
      </c>
      <c r="B21" t="n">
        <v>410</v>
      </c>
      <c r="C21" t="n">
        <v>420</v>
      </c>
      <c r="D21" t="n">
        <v>430</v>
      </c>
      <c r="E21" t="n">
        <v>440</v>
      </c>
      <c r="F21" t="n">
        <v>450</v>
      </c>
      <c r="G21" t="n">
        <v>460</v>
      </c>
    </row>
    <row r="22">
      <c r="A22" t="n">
        <v>500</v>
      </c>
      <c r="B22" t="n">
        <v>510</v>
      </c>
      <c r="C22" t="n">
        <v>520</v>
      </c>
      <c r="D22" t="n">
        <v>530</v>
      </c>
      <c r="E22" t="n">
        <v>540</v>
      </c>
      <c r="F22" t="n">
        <v>550</v>
      </c>
      <c r="G22" t="n">
        <v>560</v>
      </c>
    </row>
    <row r="24">
      <c r="A24" t="inlineStr">
        <is>
          <t>2. VANNES LUG / BRIDES / BOULONS</t>
        </is>
      </c>
    </row>
    <row r="26">
      <c r="A26" t="inlineStr">
        <is>
          <t>DN</t>
        </is>
      </c>
      <c r="B26" t="inlineStr">
        <is>
          <t>Vanne Lug PN16</t>
        </is>
      </c>
      <c r="C26" t="inlineStr">
        <is>
          <t>Bride PN16</t>
        </is>
      </c>
      <c r="D26" t="inlineStr">
        <is>
          <t>Boulons PN16 (lot)</t>
        </is>
      </c>
      <c r="E26" t="inlineStr">
        <is>
          <t>Vanne Lug PN25</t>
        </is>
      </c>
      <c r="F26" t="inlineStr">
        <is>
          <t>Bride PN25</t>
        </is>
      </c>
      <c r="G26" t="inlineStr">
        <is>
          <t>Boulons PN25 (lot)</t>
        </is>
      </c>
      <c r="H26" t="inlineStr">
        <is>
          <t>Vanne Lug PN40</t>
        </is>
      </c>
      <c r="I26" t="inlineStr">
        <is>
          <t>Bride PN40</t>
        </is>
      </c>
      <c r="J26" t="inlineStr">
        <is>
          <t>Joints + Boulons PN40 (lot)</t>
        </is>
      </c>
      <c r="K26" t="inlineStr">
        <is>
          <t>Joints (lot, déduit)</t>
        </is>
      </c>
    </row>
    <row r="27">
      <c r="A27" t="n">
        <v>20</v>
      </c>
      <c r="B27" t="n">
        <v>120</v>
      </c>
      <c r="C27" t="n">
        <v>12</v>
      </c>
      <c r="D27" t="n">
        <v>5</v>
      </c>
      <c r="E27" t="n">
        <v>170</v>
      </c>
      <c r="F27" t="n">
        <v>14</v>
      </c>
      <c r="G27" t="n">
        <v>6</v>
      </c>
      <c r="H27" t="n">
        <v>220</v>
      </c>
      <c r="I27" t="n">
        <v>17</v>
      </c>
      <c r="J27" t="n">
        <v>8</v>
      </c>
      <c r="K27" t="n">
        <v>2</v>
      </c>
    </row>
    <row r="28">
      <c r="A28" t="n">
        <v>25</v>
      </c>
      <c r="B28" t="n">
        <v>125</v>
      </c>
      <c r="C28" t="n">
        <v>12.5</v>
      </c>
      <c r="D28" t="n">
        <v>5</v>
      </c>
      <c r="E28" t="n">
        <v>175</v>
      </c>
      <c r="F28" t="n">
        <v>14.5</v>
      </c>
      <c r="G28" t="n">
        <v>6</v>
      </c>
      <c r="H28" t="n">
        <v>225</v>
      </c>
      <c r="I28" t="n">
        <v>17.5</v>
      </c>
      <c r="J28" t="n">
        <v>8</v>
      </c>
      <c r="K28" t="n">
        <v>2</v>
      </c>
    </row>
    <row r="29">
      <c r="A29" t="n">
        <v>32</v>
      </c>
      <c r="B29" t="n">
        <v>132</v>
      </c>
      <c r="C29" t="n">
        <v>13.2</v>
      </c>
      <c r="D29" t="n">
        <v>5</v>
      </c>
      <c r="E29" t="n">
        <v>182</v>
      </c>
      <c r="F29" t="n">
        <v>15.2</v>
      </c>
      <c r="G29" t="n">
        <v>6</v>
      </c>
      <c r="H29" t="n">
        <v>232</v>
      </c>
      <c r="I29" t="n">
        <v>18.2</v>
      </c>
      <c r="J29" t="n">
        <v>8</v>
      </c>
      <c r="K29" t="n">
        <v>2</v>
      </c>
    </row>
    <row r="30">
      <c r="A30" t="n">
        <v>40</v>
      </c>
      <c r="B30" t="n">
        <v>140</v>
      </c>
      <c r="C30" t="n">
        <v>14</v>
      </c>
      <c r="D30" t="n">
        <v>5</v>
      </c>
      <c r="E30" t="n">
        <v>190</v>
      </c>
      <c r="F30" t="n">
        <v>16</v>
      </c>
      <c r="G30" t="n">
        <v>6</v>
      </c>
      <c r="H30" t="n">
        <v>240</v>
      </c>
      <c r="I30" t="n">
        <v>19</v>
      </c>
      <c r="J30" t="n">
        <v>8</v>
      </c>
      <c r="K30" t="n">
        <v>2</v>
      </c>
    </row>
    <row r="31">
      <c r="A31" t="n">
        <v>50</v>
      </c>
      <c r="B31" t="n">
        <v>150</v>
      </c>
      <c r="C31" t="n">
        <v>15</v>
      </c>
      <c r="D31" t="n">
        <v>5</v>
      </c>
      <c r="E31" t="n">
        <v>200</v>
      </c>
      <c r="F31" t="n">
        <v>17</v>
      </c>
      <c r="G31" t="n">
        <v>6</v>
      </c>
      <c r="H31" t="n">
        <v>250</v>
      </c>
      <c r="I31" t="n">
        <v>20</v>
      </c>
      <c r="J31" t="n">
        <v>8</v>
      </c>
      <c r="K31" t="n">
        <v>2</v>
      </c>
    </row>
    <row r="32">
      <c r="A32" t="n">
        <v>65</v>
      </c>
      <c r="B32" t="n">
        <v>165</v>
      </c>
      <c r="C32" t="n">
        <v>16.5</v>
      </c>
      <c r="D32" t="n">
        <v>5</v>
      </c>
      <c r="E32" t="n">
        <v>215</v>
      </c>
      <c r="F32" t="n">
        <v>18.5</v>
      </c>
      <c r="G32" t="n">
        <v>6</v>
      </c>
      <c r="H32" t="n">
        <v>265</v>
      </c>
      <c r="I32" t="n">
        <v>21.5</v>
      </c>
      <c r="J32" t="n">
        <v>8</v>
      </c>
      <c r="K32" t="n">
        <v>2</v>
      </c>
    </row>
    <row r="33">
      <c r="A33" t="n">
        <v>80</v>
      </c>
      <c r="B33" t="n">
        <v>180</v>
      </c>
      <c r="C33" t="n">
        <v>18</v>
      </c>
      <c r="D33" t="n">
        <v>5</v>
      </c>
      <c r="E33" t="n">
        <v>230</v>
      </c>
      <c r="F33" t="n">
        <v>20</v>
      </c>
      <c r="G33" t="n">
        <v>6</v>
      </c>
      <c r="H33" t="n">
        <v>280</v>
      </c>
      <c r="I33" t="n">
        <v>23</v>
      </c>
      <c r="J33" t="n">
        <v>8</v>
      </c>
      <c r="K33" t="n">
        <v>2</v>
      </c>
    </row>
    <row r="34">
      <c r="A34" t="n">
        <v>100</v>
      </c>
      <c r="B34" t="n">
        <v>200</v>
      </c>
      <c r="C34" t="n">
        <v>20</v>
      </c>
      <c r="D34" t="n">
        <v>5</v>
      </c>
      <c r="E34" t="n">
        <v>250</v>
      </c>
      <c r="F34" t="n">
        <v>22</v>
      </c>
      <c r="G34" t="n">
        <v>6</v>
      </c>
      <c r="H34" t="n">
        <v>300</v>
      </c>
      <c r="I34" t="n">
        <v>25</v>
      </c>
      <c r="J34" t="n">
        <v>8</v>
      </c>
      <c r="K34" t="n">
        <v>2</v>
      </c>
    </row>
    <row r="35">
      <c r="A35" t="n">
        <v>125</v>
      </c>
      <c r="B35" t="n">
        <v>225</v>
      </c>
      <c r="C35" t="n">
        <v>22.5</v>
      </c>
      <c r="D35" t="n">
        <v>5</v>
      </c>
      <c r="E35" t="n">
        <v>275</v>
      </c>
      <c r="F35" t="n">
        <v>24.5</v>
      </c>
      <c r="G35" t="n">
        <v>6</v>
      </c>
      <c r="H35" t="n">
        <v>325</v>
      </c>
      <c r="I35" t="n">
        <v>27.5</v>
      </c>
      <c r="J35" t="n">
        <v>8</v>
      </c>
      <c r="K35" t="n">
        <v>2</v>
      </c>
    </row>
    <row r="36">
      <c r="A36" t="n">
        <v>150</v>
      </c>
      <c r="B36" t="n">
        <v>250</v>
      </c>
      <c r="C36" t="n">
        <v>25</v>
      </c>
      <c r="D36" t="n">
        <v>5</v>
      </c>
      <c r="E36" t="n">
        <v>300</v>
      </c>
      <c r="F36" t="n">
        <v>27</v>
      </c>
      <c r="G36" t="n">
        <v>6</v>
      </c>
      <c r="H36" t="n">
        <v>350</v>
      </c>
      <c r="I36" t="n">
        <v>30</v>
      </c>
      <c r="J36" t="n">
        <v>8</v>
      </c>
      <c r="K36" t="n">
        <v>2</v>
      </c>
    </row>
    <row r="37">
      <c r="A37" t="n">
        <v>200</v>
      </c>
      <c r="B37" t="n">
        <v>300</v>
      </c>
      <c r="C37" t="n">
        <v>30</v>
      </c>
      <c r="D37" t="n">
        <v>5</v>
      </c>
      <c r="E37" t="n">
        <v>350</v>
      </c>
      <c r="F37" t="n">
        <v>32</v>
      </c>
      <c r="G37" t="n">
        <v>6</v>
      </c>
      <c r="H37" t="n">
        <v>400</v>
      </c>
      <c r="I37" t="n">
        <v>35</v>
      </c>
      <c r="J37" t="n">
        <v>8</v>
      </c>
      <c r="K37" t="n">
        <v>2</v>
      </c>
    </row>
    <row r="38">
      <c r="A38" t="n">
        <v>250</v>
      </c>
      <c r="B38" t="n">
        <v>350</v>
      </c>
      <c r="C38" t="n">
        <v>35</v>
      </c>
      <c r="D38" t="n">
        <v>5</v>
      </c>
      <c r="E38" t="n">
        <v>400</v>
      </c>
      <c r="F38" t="n">
        <v>37</v>
      </c>
      <c r="G38" t="n">
        <v>6</v>
      </c>
      <c r="H38" t="n">
        <v>450</v>
      </c>
      <c r="I38" t="n">
        <v>40</v>
      </c>
      <c r="J38" t="n">
        <v>8</v>
      </c>
      <c r="K38" t="n">
        <v>2</v>
      </c>
    </row>
    <row r="39">
      <c r="A39" t="n">
        <v>300</v>
      </c>
      <c r="B39" t="n">
        <v>400</v>
      </c>
      <c r="C39" t="n">
        <v>40</v>
      </c>
      <c r="D39" t="n">
        <v>5</v>
      </c>
      <c r="E39" t="n">
        <v>450</v>
      </c>
      <c r="F39" t="n">
        <v>42</v>
      </c>
      <c r="G39" t="n">
        <v>6</v>
      </c>
      <c r="H39" t="n">
        <v>500</v>
      </c>
      <c r="I39" t="n">
        <v>45</v>
      </c>
      <c r="J39" t="n">
        <v>8</v>
      </c>
      <c r="K39" t="n">
        <v>2</v>
      </c>
    </row>
    <row r="41">
      <c r="A41" t="inlineStr">
        <is>
          <t>3. VANNES BS BRIDES / BOULONS</t>
        </is>
      </c>
    </row>
    <row r="43">
      <c r="A43" t="inlineStr">
        <is>
          <t>DN</t>
        </is>
      </c>
      <c r="B43" t="inlineStr">
        <is>
          <t>Vanne BS Bride PN40</t>
        </is>
      </c>
      <c r="C43" t="inlineStr">
        <is>
          <t>Bride PN40</t>
        </is>
      </c>
      <c r="D43" t="inlineStr">
        <is>
          <t>Boulons PN40 (lot)</t>
        </is>
      </c>
      <c r="E43" t="inlineStr">
        <is>
          <t>Vanne BS Bride PN25</t>
        </is>
      </c>
      <c r="F43" t="inlineStr">
        <is>
          <t>Bride PN25</t>
        </is>
      </c>
      <c r="G43" t="inlineStr">
        <is>
          <t>Boulons PN25 (lot)</t>
        </is>
      </c>
      <c r="H43" t="inlineStr">
        <is>
          <t>Joints (lot, déduit)</t>
        </is>
      </c>
    </row>
    <row r="44">
      <c r="A44" t="n">
        <v>20</v>
      </c>
      <c r="B44" t="n">
        <v>140</v>
      </c>
      <c r="C44" t="n">
        <v>17</v>
      </c>
      <c r="D44" t="n">
        <v>8</v>
      </c>
      <c r="E44" t="n">
        <v>130</v>
      </c>
      <c r="F44" t="n">
        <v>14</v>
      </c>
      <c r="G44" t="n">
        <v>6</v>
      </c>
      <c r="H44" t="n">
        <v>2</v>
      </c>
    </row>
    <row r="45">
      <c r="A45" t="n">
        <v>25</v>
      </c>
      <c r="B45" t="n">
        <v>145</v>
      </c>
      <c r="C45" t="n">
        <v>17.5</v>
      </c>
      <c r="D45" t="n">
        <v>8</v>
      </c>
      <c r="E45" t="n">
        <v>135</v>
      </c>
      <c r="F45" t="n">
        <v>14.5</v>
      </c>
      <c r="G45" t="n">
        <v>6</v>
      </c>
      <c r="H45" t="n">
        <v>2</v>
      </c>
    </row>
    <row r="46">
      <c r="A46" t="n">
        <v>32</v>
      </c>
      <c r="B46" t="n">
        <v>152</v>
      </c>
      <c r="C46" t="n">
        <v>18.2</v>
      </c>
      <c r="D46" t="n">
        <v>8</v>
      </c>
      <c r="E46" t="n">
        <v>142</v>
      </c>
      <c r="F46" t="n">
        <v>15.2</v>
      </c>
      <c r="G46" t="n">
        <v>6</v>
      </c>
      <c r="H46" t="n">
        <v>2</v>
      </c>
    </row>
    <row r="47">
      <c r="A47" t="n">
        <v>40</v>
      </c>
      <c r="B47" t="n">
        <v>160</v>
      </c>
      <c r="C47" t="n">
        <v>19</v>
      </c>
      <c r="D47" t="n">
        <v>8</v>
      </c>
      <c r="E47" t="n">
        <v>150</v>
      </c>
      <c r="F47" t="n">
        <v>16</v>
      </c>
      <c r="G47" t="n">
        <v>6</v>
      </c>
      <c r="H47" t="n">
        <v>2</v>
      </c>
    </row>
    <row r="48">
      <c r="A48" t="n">
        <v>50</v>
      </c>
      <c r="B48" t="n">
        <v>170</v>
      </c>
      <c r="C48" t="n">
        <v>20</v>
      </c>
      <c r="D48" t="n">
        <v>8</v>
      </c>
      <c r="E48" t="n">
        <v>160</v>
      </c>
      <c r="F48" t="n">
        <v>17</v>
      </c>
      <c r="G48" t="n">
        <v>6</v>
      </c>
      <c r="H48" t="n">
        <v>2</v>
      </c>
    </row>
    <row r="49">
      <c r="A49" t="n">
        <v>65</v>
      </c>
      <c r="B49" t="n">
        <v>185</v>
      </c>
      <c r="C49" t="n">
        <v>21.5</v>
      </c>
      <c r="D49" t="n">
        <v>8</v>
      </c>
      <c r="E49" t="n">
        <v>175</v>
      </c>
      <c r="F49" t="n">
        <v>18.5</v>
      </c>
      <c r="G49" t="n">
        <v>6</v>
      </c>
      <c r="H49" t="n">
        <v>2</v>
      </c>
    </row>
    <row r="50">
      <c r="A50" t="n">
        <v>80</v>
      </c>
      <c r="B50" t="n">
        <v>200</v>
      </c>
      <c r="C50" t="n">
        <v>23</v>
      </c>
      <c r="D50" t="n">
        <v>8</v>
      </c>
      <c r="E50" t="n">
        <v>190</v>
      </c>
      <c r="F50" t="n">
        <v>20</v>
      </c>
      <c r="G50" t="n">
        <v>6</v>
      </c>
      <c r="H50" t="n">
        <v>2</v>
      </c>
    </row>
    <row r="51">
      <c r="A51" t="n">
        <v>100</v>
      </c>
      <c r="B51" t="n">
        <v>220</v>
      </c>
      <c r="C51" t="n">
        <v>25</v>
      </c>
      <c r="D51" t="n">
        <v>8</v>
      </c>
      <c r="E51" t="n">
        <v>210</v>
      </c>
      <c r="F51" t="n">
        <v>22</v>
      </c>
      <c r="G51" t="n">
        <v>6</v>
      </c>
      <c r="H51" t="n">
        <v>2</v>
      </c>
    </row>
    <row r="52">
      <c r="A52" t="n">
        <v>125</v>
      </c>
      <c r="B52" t="n">
        <v>245</v>
      </c>
      <c r="C52" t="n">
        <v>27.5</v>
      </c>
      <c r="D52" t="n">
        <v>8</v>
      </c>
      <c r="E52" t="n">
        <v>235</v>
      </c>
      <c r="F52" t="n">
        <v>24.5</v>
      </c>
      <c r="G52" t="n">
        <v>6</v>
      </c>
      <c r="H52" t="n">
        <v>2</v>
      </c>
    </row>
    <row r="53">
      <c r="A53" t="n">
        <v>150</v>
      </c>
      <c r="B53" t="n">
        <v>270</v>
      </c>
      <c r="C53" t="n">
        <v>30</v>
      </c>
      <c r="D53" t="n">
        <v>8</v>
      </c>
      <c r="E53" t="n">
        <v>260</v>
      </c>
      <c r="F53" t="n">
        <v>27</v>
      </c>
      <c r="G53" t="n">
        <v>6</v>
      </c>
      <c r="H53" t="n">
        <v>2</v>
      </c>
    </row>
    <row r="54">
      <c r="A54" t="n">
        <v>200</v>
      </c>
      <c r="B54" t="n">
        <v>320</v>
      </c>
      <c r="C54" t="n">
        <v>35</v>
      </c>
      <c r="D54" t="n">
        <v>8</v>
      </c>
      <c r="E54" t="n">
        <v>310</v>
      </c>
      <c r="F54" t="n">
        <v>32</v>
      </c>
      <c r="G54" t="n">
        <v>6</v>
      </c>
      <c r="H54" t="n">
        <v>2</v>
      </c>
    </row>
    <row r="55">
      <c r="A55" t="n">
        <v>250</v>
      </c>
      <c r="B55" t="n">
        <v>370</v>
      </c>
      <c r="C55" t="n">
        <v>40</v>
      </c>
      <c r="D55" t="n">
        <v>8</v>
      </c>
      <c r="E55" t="n">
        <v>360</v>
      </c>
      <c r="F55" t="n">
        <v>37</v>
      </c>
      <c r="G55" t="n">
        <v>6</v>
      </c>
      <c r="H55" t="n">
        <v>2</v>
      </c>
    </row>
    <row r="57">
      <c r="A57" t="inlineStr">
        <is>
          <t>4. ACCESSOIRES ACIER</t>
        </is>
      </c>
    </row>
    <row r="59">
      <c r="A59" t="inlineStr">
        <is>
          <t>DN</t>
        </is>
      </c>
      <c r="B59" t="inlineStr">
        <is>
          <t>Bobines</t>
        </is>
      </c>
      <c r="C59" t="inlineStr">
        <is>
          <t>Coudes à visser</t>
        </is>
      </c>
      <c r="D59" t="inlineStr">
        <is>
          <t>Bouchon F</t>
        </is>
      </c>
      <c r="E59" t="inlineStr">
        <is>
          <t>Raccord sym. M</t>
        </is>
      </c>
      <c r="F59" t="inlineStr">
        <is>
          <t>Raccord sym. F</t>
        </is>
      </c>
      <c r="G59" t="inlineStr">
        <is>
          <t>Bouchons pompier</t>
        </is>
      </c>
      <c r="H59" t="inlineStr">
        <is>
          <t>Tubes acier 6ml</t>
        </is>
      </c>
      <c r="I59" t="inlineStr">
        <is>
          <t>Coudes à souder</t>
        </is>
      </c>
      <c r="J59" t="inlineStr">
        <is>
          <t>Fonds bombés</t>
        </is>
      </c>
      <c r="K59" t="inlineStr">
        <is>
          <t>Boulet mousse</t>
        </is>
      </c>
      <c r="L59" t="inlineStr">
        <is>
          <t>Renfort PEC (selle)</t>
        </is>
      </c>
      <c r="M59" t="inlineStr">
        <is>
          <t>Brides PN25</t>
        </is>
      </c>
    </row>
    <row r="60">
      <c r="A60" t="n">
        <v>20</v>
      </c>
      <c r="B60" t="n">
        <v>4</v>
      </c>
      <c r="C60" t="n">
        <v>3</v>
      </c>
      <c r="D60" t="n">
        <v>2</v>
      </c>
      <c r="E60" t="n">
        <v>3</v>
      </c>
      <c r="F60" t="n">
        <v>3</v>
      </c>
      <c r="G60" t="n">
        <v>4</v>
      </c>
      <c r="H60" t="n">
        <v>30</v>
      </c>
      <c r="I60" t="n">
        <v>4</v>
      </c>
      <c r="J60" t="n">
        <v>7</v>
      </c>
      <c r="K60" t="n">
        <v>24</v>
      </c>
      <c r="L60" t="n">
        <v>12</v>
      </c>
      <c r="M60" t="n">
        <v>10</v>
      </c>
    </row>
    <row r="61">
      <c r="A61" t="n">
        <v>25</v>
      </c>
      <c r="B61" t="n">
        <v>4.5</v>
      </c>
      <c r="C61" t="n">
        <v>3.5</v>
      </c>
      <c r="D61" t="n">
        <v>2.25</v>
      </c>
      <c r="E61" t="n">
        <v>3</v>
      </c>
      <c r="F61" t="n">
        <v>3</v>
      </c>
      <c r="G61" t="n">
        <v>4</v>
      </c>
      <c r="H61" t="n">
        <v>35</v>
      </c>
      <c r="I61" t="n">
        <v>4.5</v>
      </c>
      <c r="J61" t="n">
        <v>7.5</v>
      </c>
      <c r="K61" t="n">
        <v>25</v>
      </c>
      <c r="L61" t="n">
        <v>12.5</v>
      </c>
      <c r="M61" t="n">
        <v>10.5</v>
      </c>
    </row>
    <row r="62">
      <c r="A62" t="n">
        <v>32</v>
      </c>
      <c r="B62" t="n">
        <v>5.2</v>
      </c>
      <c r="C62" t="n">
        <v>4.2</v>
      </c>
      <c r="D62" t="n">
        <v>2.6</v>
      </c>
      <c r="E62" t="n">
        <v>3</v>
      </c>
      <c r="F62" t="n">
        <v>3</v>
      </c>
      <c r="G62" t="n">
        <v>4</v>
      </c>
      <c r="H62" t="n">
        <v>42</v>
      </c>
      <c r="I62" t="n">
        <v>5.2</v>
      </c>
      <c r="J62" t="n">
        <v>8.199999999999999</v>
      </c>
      <c r="K62" t="n">
        <v>26.4</v>
      </c>
      <c r="L62" t="n">
        <v>13.2</v>
      </c>
      <c r="M62" t="n">
        <v>11.2</v>
      </c>
    </row>
    <row r="63">
      <c r="A63" t="n">
        <v>40</v>
      </c>
      <c r="B63" t="n">
        <v>6</v>
      </c>
      <c r="C63" t="n">
        <v>5</v>
      </c>
      <c r="D63" t="n">
        <v>3</v>
      </c>
      <c r="E63" t="n">
        <v>3</v>
      </c>
      <c r="F63" t="n">
        <v>3</v>
      </c>
      <c r="G63" t="n">
        <v>4</v>
      </c>
      <c r="H63" t="n">
        <v>50</v>
      </c>
      <c r="I63" t="n">
        <v>6</v>
      </c>
      <c r="J63" t="n">
        <v>9</v>
      </c>
      <c r="K63" t="n">
        <v>28</v>
      </c>
      <c r="L63" t="n">
        <v>14</v>
      </c>
      <c r="M63" t="n">
        <v>12</v>
      </c>
    </row>
    <row r="64">
      <c r="A64" t="n">
        <v>50</v>
      </c>
      <c r="B64" t="n">
        <v>7</v>
      </c>
      <c r="C64" t="n">
        <v>6</v>
      </c>
      <c r="D64" t="n">
        <v>3.5</v>
      </c>
      <c r="E64" t="n">
        <v>3</v>
      </c>
      <c r="F64" t="n">
        <v>3</v>
      </c>
      <c r="G64" t="n">
        <v>4</v>
      </c>
      <c r="H64" t="n">
        <v>60</v>
      </c>
      <c r="I64" t="n">
        <v>7</v>
      </c>
      <c r="J64" t="n">
        <v>10</v>
      </c>
      <c r="K64" t="n">
        <v>30</v>
      </c>
      <c r="L64" t="n">
        <v>15</v>
      </c>
      <c r="M64" t="n">
        <v>13</v>
      </c>
    </row>
    <row r="65">
      <c r="A65" t="n">
        <v>65</v>
      </c>
      <c r="B65" t="n">
        <v>8.5</v>
      </c>
      <c r="C65" t="n">
        <v>7.5</v>
      </c>
      <c r="D65" t="n">
        <v>4.25</v>
      </c>
      <c r="E65" t="n">
        <v>3</v>
      </c>
      <c r="F65" t="n">
        <v>3</v>
      </c>
      <c r="G65" t="n">
        <v>4</v>
      </c>
      <c r="H65" t="n">
        <v>75</v>
      </c>
      <c r="I65" t="n">
        <v>8.5</v>
      </c>
      <c r="J65" t="n">
        <v>11.5</v>
      </c>
      <c r="K65" t="n">
        <v>33</v>
      </c>
      <c r="L65" t="n">
        <v>16.5</v>
      </c>
      <c r="M65" t="n">
        <v>14.5</v>
      </c>
    </row>
    <row r="66">
      <c r="A66" t="n">
        <v>80</v>
      </c>
      <c r="B66" t="n">
        <v>10</v>
      </c>
      <c r="C66" t="n">
        <v>9</v>
      </c>
      <c r="D66" t="n">
        <v>5</v>
      </c>
      <c r="E66" t="n">
        <v>3</v>
      </c>
      <c r="F66" t="n">
        <v>3</v>
      </c>
      <c r="G66" t="n">
        <v>4</v>
      </c>
      <c r="H66" t="n">
        <v>90</v>
      </c>
      <c r="I66" t="n">
        <v>10</v>
      </c>
      <c r="J66" t="n">
        <v>13</v>
      </c>
      <c r="K66" t="n">
        <v>36</v>
      </c>
      <c r="L66" t="n">
        <v>18</v>
      </c>
      <c r="M66" t="n">
        <v>16</v>
      </c>
    </row>
    <row r="67">
      <c r="A67" t="n">
        <v>100</v>
      </c>
      <c r="B67" t="n">
        <v>12</v>
      </c>
      <c r="C67" t="n">
        <v>11</v>
      </c>
      <c r="D67" t="n">
        <v>6</v>
      </c>
      <c r="E67" t="n">
        <v>3</v>
      </c>
      <c r="F67" t="n">
        <v>3</v>
      </c>
      <c r="G67" t="n">
        <v>4</v>
      </c>
      <c r="H67" t="n">
        <v>110</v>
      </c>
      <c r="I67" t="n">
        <v>12</v>
      </c>
      <c r="J67" t="n">
        <v>15</v>
      </c>
      <c r="K67" t="n">
        <v>40</v>
      </c>
      <c r="L67" t="n">
        <v>20</v>
      </c>
      <c r="M67" t="n">
        <v>18</v>
      </c>
    </row>
    <row r="68">
      <c r="A68" t="n">
        <v>125</v>
      </c>
      <c r="B68" t="n">
        <v>14.5</v>
      </c>
      <c r="C68" t="n">
        <v>13.5</v>
      </c>
      <c r="D68" t="n">
        <v>7.25</v>
      </c>
      <c r="E68" t="n">
        <v>3</v>
      </c>
      <c r="F68" t="n">
        <v>3</v>
      </c>
      <c r="G68" t="n">
        <v>4</v>
      </c>
      <c r="H68" t="n">
        <v>135</v>
      </c>
      <c r="I68" t="n">
        <v>14.5</v>
      </c>
      <c r="J68" t="n">
        <v>17.5</v>
      </c>
      <c r="K68" t="n">
        <v>45</v>
      </c>
      <c r="L68" t="n">
        <v>22.5</v>
      </c>
      <c r="M68" t="n">
        <v>20.5</v>
      </c>
    </row>
    <row r="69">
      <c r="A69" t="n">
        <v>150</v>
      </c>
      <c r="B69" t="n">
        <v>17</v>
      </c>
      <c r="C69" t="n">
        <v>16</v>
      </c>
      <c r="D69" t="n">
        <v>8.5</v>
      </c>
      <c r="E69" t="n">
        <v>3</v>
      </c>
      <c r="F69" t="n">
        <v>3</v>
      </c>
      <c r="G69" t="n">
        <v>4</v>
      </c>
      <c r="H69" t="n">
        <v>160</v>
      </c>
      <c r="I69" t="n">
        <v>17</v>
      </c>
      <c r="J69" t="n">
        <v>20</v>
      </c>
      <c r="K69" t="n">
        <v>50</v>
      </c>
      <c r="L69" t="n">
        <v>25</v>
      </c>
      <c r="M69" t="n">
        <v>23</v>
      </c>
    </row>
    <row r="70">
      <c r="A70" t="n">
        <v>200</v>
      </c>
      <c r="B70" t="n">
        <v>22</v>
      </c>
      <c r="C70" t="n">
        <v>21</v>
      </c>
      <c r="D70" t="n">
        <v>11</v>
      </c>
      <c r="E70" t="n">
        <v>3</v>
      </c>
      <c r="F70" t="n">
        <v>3</v>
      </c>
      <c r="G70" t="n">
        <v>4</v>
      </c>
      <c r="H70" t="n">
        <v>210</v>
      </c>
      <c r="I70" t="n">
        <v>22</v>
      </c>
      <c r="J70" t="n">
        <v>25</v>
      </c>
      <c r="K70" t="n">
        <v>60</v>
      </c>
      <c r="L70" t="n">
        <v>30</v>
      </c>
      <c r="M70" t="n">
        <v>28</v>
      </c>
    </row>
    <row r="71">
      <c r="A71" t="n">
        <v>250</v>
      </c>
      <c r="B71" t="n">
        <v>27</v>
      </c>
      <c r="C71" t="n">
        <v>26</v>
      </c>
      <c r="D71" t="n">
        <v>13.5</v>
      </c>
      <c r="E71" t="n">
        <v>3</v>
      </c>
      <c r="F71" t="n">
        <v>3</v>
      </c>
      <c r="G71" t="n">
        <v>4</v>
      </c>
      <c r="H71" t="n">
        <v>260</v>
      </c>
      <c r="I71" t="n">
        <v>27</v>
      </c>
      <c r="J71" t="n">
        <v>30</v>
      </c>
      <c r="K71" t="n">
        <v>70</v>
      </c>
      <c r="L71" t="n">
        <v>35</v>
      </c>
      <c r="M71" t="n">
        <v>33</v>
      </c>
    </row>
    <row r="72">
      <c r="A72" t="n">
        <v>300</v>
      </c>
      <c r="B72" t="n">
        <v>32</v>
      </c>
      <c r="C72" t="n">
        <v>31</v>
      </c>
      <c r="D72" t="n">
        <v>16</v>
      </c>
      <c r="E72" t="n">
        <v>3</v>
      </c>
      <c r="F72" t="n">
        <v>3</v>
      </c>
      <c r="G72" t="n">
        <v>4</v>
      </c>
      <c r="H72" t="n">
        <v>310</v>
      </c>
      <c r="I72" t="n">
        <v>32</v>
      </c>
      <c r="J72" t="n">
        <v>35</v>
      </c>
      <c r="K72" t="n">
        <v>80</v>
      </c>
      <c r="L72" t="n">
        <v>40</v>
      </c>
      <c r="M72" t="n">
        <v>38</v>
      </c>
    </row>
    <row r="73">
      <c r="A73" t="n">
        <v>350</v>
      </c>
      <c r="B73" t="n">
        <v>37</v>
      </c>
      <c r="C73" t="n">
        <v>36</v>
      </c>
      <c r="D73" t="n">
        <v>18.5</v>
      </c>
      <c r="E73" t="n">
        <v>3</v>
      </c>
      <c r="F73" t="n">
        <v>3</v>
      </c>
      <c r="G73" t="n">
        <v>4</v>
      </c>
      <c r="H73" t="n">
        <v>360</v>
      </c>
      <c r="I73" t="n">
        <v>37</v>
      </c>
      <c r="J73" t="n">
        <v>40</v>
      </c>
      <c r="K73" t="n">
        <v>90</v>
      </c>
      <c r="L73" t="n">
        <v>45</v>
      </c>
      <c r="M73" t="n">
        <v>43</v>
      </c>
    </row>
    <row r="74">
      <c r="A74" t="n">
        <v>400</v>
      </c>
      <c r="B74" t="n">
        <v>42</v>
      </c>
      <c r="C74" t="n">
        <v>41</v>
      </c>
      <c r="D74" t="n">
        <v>21</v>
      </c>
      <c r="E74" t="n">
        <v>3</v>
      </c>
      <c r="F74" t="n">
        <v>3</v>
      </c>
      <c r="G74" t="n">
        <v>4</v>
      </c>
      <c r="H74" t="n">
        <v>410</v>
      </c>
      <c r="I74" t="n">
        <v>42</v>
      </c>
      <c r="J74" t="n">
        <v>45</v>
      </c>
      <c r="K74" t="n">
        <v>100</v>
      </c>
      <c r="L74" t="n">
        <v>50</v>
      </c>
      <c r="M74" t="n">
        <v>48</v>
      </c>
    </row>
    <row r="75">
      <c r="A75" t="n">
        <v>500</v>
      </c>
      <c r="B75" t="n">
        <v>52</v>
      </c>
      <c r="C75" t="n">
        <v>51</v>
      </c>
      <c r="D75" t="n">
        <v>26</v>
      </c>
      <c r="E75" t="n">
        <v>3</v>
      </c>
      <c r="F75" t="n">
        <v>3</v>
      </c>
      <c r="G75" t="n">
        <v>4</v>
      </c>
      <c r="H75" t="n">
        <v>510</v>
      </c>
      <c r="I75" t="n">
        <v>52</v>
      </c>
      <c r="J75" t="n">
        <v>55</v>
      </c>
      <c r="K75" t="n">
        <v>120</v>
      </c>
      <c r="L75" t="n">
        <v>60</v>
      </c>
      <c r="M75" t="n">
        <v>58</v>
      </c>
    </row>
    <row r="77">
      <c r="A77" t="inlineStr">
        <is>
          <t>5. COLLIERS CENTREURS</t>
        </is>
      </c>
    </row>
    <row r="79">
      <c r="A79" t="inlineStr">
        <is>
          <t>DN Isolation</t>
        </is>
      </c>
      <c r="B79" t="inlineStr">
        <is>
          <t>Nb segments par collier</t>
        </is>
      </c>
      <c r="C79" t="inlineStr">
        <is>
          <t>Prix unitaire segment</t>
        </is>
      </c>
    </row>
    <row r="80">
      <c r="A80" t="n">
        <v>90</v>
      </c>
      <c r="B80" t="n">
        <v>2</v>
      </c>
      <c r="C80" t="n">
        <v>12</v>
      </c>
    </row>
    <row r="81">
      <c r="A81" t="n">
        <v>110</v>
      </c>
      <c r="B81" t="n">
        <v>2</v>
      </c>
      <c r="C81" t="n">
        <v>12</v>
      </c>
    </row>
    <row r="82">
      <c r="A82" t="n">
        <v>125</v>
      </c>
      <c r="B82" t="n">
        <v>2</v>
      </c>
      <c r="C82" t="n">
        <v>12</v>
      </c>
    </row>
    <row r="83">
      <c r="A83" t="n">
        <v>140</v>
      </c>
      <c r="B83" t="n">
        <v>2</v>
      </c>
      <c r="C83" t="n">
        <v>12</v>
      </c>
    </row>
    <row r="84">
      <c r="A84" t="n">
        <v>160</v>
      </c>
      <c r="B84" t="n">
        <v>2</v>
      </c>
      <c r="C84" t="n">
        <v>12</v>
      </c>
    </row>
    <row r="85">
      <c r="A85" t="n">
        <v>180</v>
      </c>
      <c r="B85" t="n">
        <v>2</v>
      </c>
      <c r="C85" t="n">
        <v>12</v>
      </c>
    </row>
    <row r="86">
      <c r="A86" t="n">
        <v>200</v>
      </c>
      <c r="B86" t="n">
        <v>3</v>
      </c>
      <c r="C86" t="n">
        <v>12</v>
      </c>
    </row>
    <row r="87">
      <c r="A87" t="n">
        <v>225</v>
      </c>
      <c r="B87" t="n">
        <v>3</v>
      </c>
      <c r="C87" t="n">
        <v>12</v>
      </c>
    </row>
    <row r="88">
      <c r="A88" t="n">
        <v>250</v>
      </c>
      <c r="B88" t="n">
        <v>3</v>
      </c>
      <c r="C88" t="n">
        <v>12</v>
      </c>
    </row>
    <row r="89">
      <c r="A89" t="n">
        <v>280</v>
      </c>
      <c r="B89" t="n">
        <v>3</v>
      </c>
      <c r="C89" t="n">
        <v>12</v>
      </c>
    </row>
    <row r="90">
      <c r="A90" t="n">
        <v>315</v>
      </c>
      <c r="B90" t="n">
        <v>3</v>
      </c>
      <c r="C90" t="n">
        <v>12</v>
      </c>
    </row>
    <row r="91">
      <c r="A91" t="n">
        <v>355</v>
      </c>
      <c r="B91" t="n">
        <v>3</v>
      </c>
      <c r="C91" t="n">
        <v>12</v>
      </c>
    </row>
    <row r="92">
      <c r="A92" t="n">
        <v>400</v>
      </c>
      <c r="B92" t="n">
        <v>4</v>
      </c>
      <c r="C92" t="n">
        <v>12</v>
      </c>
    </row>
    <row r="93">
      <c r="A93" t="n">
        <v>450</v>
      </c>
      <c r="B93" t="n">
        <v>4</v>
      </c>
      <c r="C93" t="n">
        <v>12</v>
      </c>
    </row>
    <row r="94">
      <c r="A94" t="n">
        <v>500</v>
      </c>
      <c r="B94" t="n">
        <v>4</v>
      </c>
      <c r="C94" t="n">
        <v>12</v>
      </c>
    </row>
    <row r="95">
      <c r="A95" t="n">
        <v>560</v>
      </c>
      <c r="B95" t="n">
        <v>4</v>
      </c>
      <c r="C95" t="n">
        <v>12</v>
      </c>
    </row>
    <row r="96">
      <c r="A96" t="n">
        <v>630</v>
      </c>
      <c r="B96" t="n">
        <v>4</v>
      </c>
      <c r="C96" t="n">
        <v>12</v>
      </c>
    </row>
    <row r="97">
      <c r="A97" t="n">
        <v>710</v>
      </c>
      <c r="B97" t="n">
        <v>4</v>
      </c>
      <c r="C97" t="n">
        <v>12</v>
      </c>
    </row>
    <row r="98">
      <c r="A98" t="n">
        <v>800</v>
      </c>
      <c r="B98" t="n">
        <v>4</v>
      </c>
      <c r="C98" t="n">
        <v>12</v>
      </c>
    </row>
    <row r="100">
      <c r="A100" t="inlineStr">
        <is>
          <t>6. ISOLATION (diamètres extérieurs)</t>
        </is>
      </c>
    </row>
    <row r="102">
      <c r="A102" t="inlineStr">
        <is>
          <t>DN Acier</t>
        </is>
      </c>
      <c r="B102" t="inlineStr">
        <is>
          <t>Ø ISO 1</t>
        </is>
      </c>
      <c r="C102" t="inlineStr">
        <is>
          <t>Ø ISO 2</t>
        </is>
      </c>
      <c r="D102" t="inlineStr">
        <is>
          <t>Ø ISO 3</t>
        </is>
      </c>
      <c r="E102" t="inlineStr">
        <is>
          <t>Poids kg/ml</t>
        </is>
      </c>
      <c r="F102" t="inlineStr">
        <is>
          <t>Volume/ml Iso 1</t>
        </is>
      </c>
      <c r="G102" t="inlineStr">
        <is>
          <t>Volume/ml Iso 2</t>
        </is>
      </c>
      <c r="H102" t="inlineStr">
        <is>
          <t>Volume/ml Iso 3</t>
        </is>
      </c>
      <c r="I102" t="inlineStr">
        <is>
          <t>Ø intérieur (mm)</t>
        </is>
      </c>
      <c r="J102" t="inlineStr">
        <is>
          <t>Nb coupes / jour (en 5 ml)</t>
        </is>
      </c>
    </row>
    <row r="103">
      <c r="A103" t="n">
        <v>20</v>
      </c>
      <c r="B103" t="n">
        <v>90</v>
      </c>
      <c r="C103" t="n">
        <v>110</v>
      </c>
      <c r="D103" t="n">
        <v>125</v>
      </c>
      <c r="E103" t="n">
        <v>2</v>
      </c>
      <c r="F103" t="n">
        <v>0.00636</v>
      </c>
      <c r="G103" t="n">
        <v>0.0095</v>
      </c>
      <c r="H103" t="n">
        <v>0.01227</v>
      </c>
      <c r="I103" t="n">
        <v>20</v>
      </c>
      <c r="J103" t="n">
        <v>48</v>
      </c>
    </row>
    <row r="104">
      <c r="A104" t="n">
        <v>25</v>
      </c>
      <c r="B104" t="n">
        <v>90</v>
      </c>
      <c r="C104" t="n">
        <v>110</v>
      </c>
      <c r="D104" t="n">
        <v>125</v>
      </c>
      <c r="E104" t="n">
        <v>2.5</v>
      </c>
      <c r="F104" t="n">
        <v>0.00636</v>
      </c>
      <c r="G104" t="n">
        <v>0.0095</v>
      </c>
      <c r="H104" t="n">
        <v>0.01227</v>
      </c>
      <c r="I104" t="n">
        <v>25</v>
      </c>
      <c r="J104" t="n">
        <v>48</v>
      </c>
    </row>
    <row r="105">
      <c r="A105" t="n">
        <v>32</v>
      </c>
      <c r="B105" t="n">
        <v>110</v>
      </c>
      <c r="C105" t="n">
        <v>125</v>
      </c>
      <c r="D105" t="n">
        <v>140</v>
      </c>
      <c r="E105" t="n">
        <v>3.2</v>
      </c>
      <c r="F105" t="n">
        <v>0.0095</v>
      </c>
      <c r="G105" t="n">
        <v>0.01227</v>
      </c>
      <c r="H105" t="n">
        <v>0.01539</v>
      </c>
      <c r="I105" t="n">
        <v>32</v>
      </c>
      <c r="J105" t="n">
        <v>48</v>
      </c>
    </row>
    <row r="106">
      <c r="A106" t="n">
        <v>40</v>
      </c>
      <c r="B106" t="n">
        <v>110</v>
      </c>
      <c r="C106" t="n">
        <v>125</v>
      </c>
      <c r="D106" t="n">
        <v>140</v>
      </c>
      <c r="E106" t="n">
        <v>4</v>
      </c>
      <c r="F106" t="n">
        <v>0.0095</v>
      </c>
      <c r="G106" t="n">
        <v>0.01227</v>
      </c>
      <c r="H106" t="n">
        <v>0.01539</v>
      </c>
      <c r="I106" t="n">
        <v>40</v>
      </c>
      <c r="J106" t="n">
        <v>48</v>
      </c>
    </row>
    <row r="107">
      <c r="A107" t="n">
        <v>50</v>
      </c>
      <c r="B107" t="n">
        <v>125</v>
      </c>
      <c r="C107" t="n">
        <v>140</v>
      </c>
      <c r="D107" t="n">
        <v>160</v>
      </c>
      <c r="E107" t="n">
        <v>5</v>
      </c>
      <c r="F107" t="n">
        <v>0.01227</v>
      </c>
      <c r="G107" t="n">
        <v>0.01539</v>
      </c>
      <c r="H107" t="n">
        <v>0.02011</v>
      </c>
      <c r="I107" t="n">
        <v>50</v>
      </c>
      <c r="J107" t="n">
        <v>48</v>
      </c>
    </row>
    <row r="108">
      <c r="A108" t="n">
        <v>65</v>
      </c>
      <c r="B108" t="n">
        <v>140</v>
      </c>
      <c r="C108" t="n">
        <v>160</v>
      </c>
      <c r="D108" t="n">
        <v>180</v>
      </c>
      <c r="E108" t="n">
        <v>6.5</v>
      </c>
      <c r="F108" t="n">
        <v>0.01539</v>
      </c>
      <c r="G108" t="n">
        <v>0.02011</v>
      </c>
      <c r="H108" t="n">
        <v>0.02545</v>
      </c>
      <c r="I108" t="n">
        <v>65</v>
      </c>
      <c r="J108" t="n">
        <v>48</v>
      </c>
    </row>
    <row r="109">
      <c r="A109" t="n">
        <v>80</v>
      </c>
      <c r="B109" t="n">
        <v>160</v>
      </c>
      <c r="C109" t="n">
        <v>180</v>
      </c>
      <c r="D109" t="n">
        <v>200</v>
      </c>
      <c r="E109" t="n">
        <v>8</v>
      </c>
      <c r="F109" t="n">
        <v>0.02011</v>
      </c>
      <c r="G109" t="n">
        <v>0.02545</v>
      </c>
      <c r="H109" t="n">
        <v>0.03142</v>
      </c>
      <c r="I109" t="n">
        <v>80</v>
      </c>
      <c r="J109" t="n">
        <v>48</v>
      </c>
    </row>
    <row r="110">
      <c r="A110" t="n">
        <v>100</v>
      </c>
      <c r="B110" t="n">
        <v>200</v>
      </c>
      <c r="C110" t="n">
        <v>225</v>
      </c>
      <c r="D110" t="n">
        <v>250</v>
      </c>
      <c r="E110" t="n">
        <v>10</v>
      </c>
      <c r="F110" t="n">
        <v>0.03142</v>
      </c>
      <c r="G110" t="n">
        <v>0.03976</v>
      </c>
      <c r="H110" t="n">
        <v>0.04909</v>
      </c>
      <c r="I110" t="n">
        <v>100</v>
      </c>
      <c r="J110" t="n">
        <v>48</v>
      </c>
    </row>
    <row r="111">
      <c r="A111" t="n">
        <v>125</v>
      </c>
      <c r="B111" t="n">
        <v>225</v>
      </c>
      <c r="C111" t="n">
        <v>250</v>
      </c>
      <c r="D111" t="n">
        <v>280</v>
      </c>
      <c r="E111" t="n">
        <v>12.5</v>
      </c>
      <c r="F111" t="n">
        <v>0.03976</v>
      </c>
      <c r="G111" t="n">
        <v>0.04909</v>
      </c>
      <c r="H111" t="n">
        <v>0.06158</v>
      </c>
      <c r="I111" t="n">
        <v>125</v>
      </c>
      <c r="J111" t="n">
        <v>24</v>
      </c>
    </row>
    <row r="112">
      <c r="A112" t="n">
        <v>150</v>
      </c>
      <c r="B112" t="n">
        <v>250</v>
      </c>
      <c r="C112" t="n">
        <v>280</v>
      </c>
      <c r="D112" t="n">
        <v>315</v>
      </c>
      <c r="E112" t="n">
        <v>15</v>
      </c>
      <c r="F112" t="n">
        <v>0.04909</v>
      </c>
      <c r="G112" t="n">
        <v>0.06158</v>
      </c>
      <c r="H112" t="n">
        <v>0.07793</v>
      </c>
      <c r="I112" t="n">
        <v>150</v>
      </c>
      <c r="J112" t="n">
        <v>24</v>
      </c>
    </row>
    <row r="113">
      <c r="A113" t="n">
        <v>200</v>
      </c>
      <c r="B113" t="n">
        <v>315</v>
      </c>
      <c r="C113" t="n">
        <v>355</v>
      </c>
      <c r="D113" t="n">
        <v>400</v>
      </c>
      <c r="E113" t="n">
        <v>20</v>
      </c>
      <c r="F113" t="n">
        <v>0.07793</v>
      </c>
      <c r="G113" t="n">
        <v>0.09898</v>
      </c>
      <c r="H113" t="n">
        <v>0.12566</v>
      </c>
      <c r="I113" t="n">
        <v>200</v>
      </c>
      <c r="J113" t="n">
        <v>24</v>
      </c>
    </row>
    <row r="114">
      <c r="A114" t="n">
        <v>250</v>
      </c>
      <c r="B114" t="n">
        <v>400</v>
      </c>
      <c r="C114" t="n">
        <v>450</v>
      </c>
      <c r="D114" t="n">
        <v>500</v>
      </c>
      <c r="E114" t="n">
        <v>25</v>
      </c>
      <c r="F114" t="n">
        <v>0.12566</v>
      </c>
      <c r="G114" t="n">
        <v>0.15904</v>
      </c>
      <c r="H114" t="n">
        <v>0.19635</v>
      </c>
      <c r="I114" t="n">
        <v>250</v>
      </c>
      <c r="J114" t="n">
        <v>24</v>
      </c>
    </row>
    <row r="115">
      <c r="A115" t="n">
        <v>300</v>
      </c>
      <c r="B115" t="n">
        <v>450</v>
      </c>
      <c r="C115" t="n">
        <v>500</v>
      </c>
      <c r="D115" t="n">
        <v>560</v>
      </c>
      <c r="E115" t="n">
        <v>30</v>
      </c>
      <c r="F115" t="n">
        <v>0.15904</v>
      </c>
      <c r="G115" t="n">
        <v>0.19635</v>
      </c>
      <c r="H115" t="n">
        <v>0.2463</v>
      </c>
      <c r="I115" t="n">
        <v>300</v>
      </c>
      <c r="J115" t="n">
        <v>24</v>
      </c>
    </row>
    <row r="116">
      <c r="A116" t="n">
        <v>350</v>
      </c>
      <c r="B116" t="n">
        <v>500</v>
      </c>
      <c r="C116" t="n">
        <v>560</v>
      </c>
      <c r="D116" t="n">
        <v>630</v>
      </c>
      <c r="E116" t="n">
        <v>35</v>
      </c>
      <c r="F116" t="n">
        <v>0.19635</v>
      </c>
      <c r="G116" t="n">
        <v>0.2463</v>
      </c>
      <c r="H116" t="n">
        <v>0.31172</v>
      </c>
      <c r="I116" t="n">
        <v>350</v>
      </c>
      <c r="J116" t="n">
        <v>24</v>
      </c>
    </row>
    <row r="117">
      <c r="A117" t="n">
        <v>400</v>
      </c>
      <c r="B117" t="n">
        <v>560</v>
      </c>
      <c r="C117" t="n">
        <v>630</v>
      </c>
      <c r="D117" t="n">
        <v>710</v>
      </c>
      <c r="E117" t="n">
        <v>40</v>
      </c>
      <c r="F117" t="n">
        <v>0.2463</v>
      </c>
      <c r="G117" t="n">
        <v>0.31172</v>
      </c>
      <c r="H117" t="n">
        <v>0.39592</v>
      </c>
      <c r="I117" t="n">
        <v>400</v>
      </c>
      <c r="J117" t="n">
        <v>24</v>
      </c>
    </row>
    <row r="118">
      <c r="A118" t="n">
        <v>450</v>
      </c>
      <c r="B118" t="n">
        <v>630</v>
      </c>
      <c r="C118" t="n">
        <v>710</v>
      </c>
      <c r="D118" t="n">
        <v>800</v>
      </c>
      <c r="E118" t="n">
        <v>45</v>
      </c>
      <c r="F118" t="n">
        <v>0.31172</v>
      </c>
      <c r="G118" t="n">
        <v>0.39592</v>
      </c>
      <c r="H118" t="n">
        <v>0.50265</v>
      </c>
      <c r="I118" t="n">
        <v>450</v>
      </c>
      <c r="J118" t="n">
        <v>24</v>
      </c>
    </row>
    <row r="119">
      <c r="A119" t="n">
        <v>500</v>
      </c>
      <c r="B119" t="n">
        <v>710</v>
      </c>
      <c r="C119" t="n">
        <v>800</v>
      </c>
      <c r="D119" t="n">
        <v>900</v>
      </c>
      <c r="E119" t="n">
        <v>50</v>
      </c>
      <c r="F119" t="n">
        <v>0.39592</v>
      </c>
      <c r="G119" t="n">
        <v>0.50265</v>
      </c>
      <c r="H119" t="n">
        <v>0.63617</v>
      </c>
      <c r="I119" t="n">
        <v>500</v>
      </c>
      <c r="J119" t="n">
        <v>24</v>
      </c>
    </row>
    <row r="120">
      <c r="A120" t="n">
        <v>600</v>
      </c>
      <c r="B120" t="n">
        <v>800</v>
      </c>
      <c r="C120" t="n">
        <v>900</v>
      </c>
      <c r="D120" t="n">
        <v>1000</v>
      </c>
      <c r="E120" t="n">
        <v>60</v>
      </c>
      <c r="F120" t="n">
        <v>0.50265</v>
      </c>
      <c r="G120" t="n">
        <v>0.63617</v>
      </c>
      <c r="H120" t="n">
        <v>0.7854</v>
      </c>
      <c r="I120" t="n">
        <v>600</v>
      </c>
      <c r="J120" t="n">
        <v>24</v>
      </c>
    </row>
    <row r="122">
      <c r="A122" t="inlineStr">
        <is>
          <t>7b. FORFAITS PAR DISTANCE</t>
        </is>
      </c>
    </row>
    <row r="124">
      <c r="A124" t="inlineStr">
        <is>
          <t>Poste</t>
        </is>
      </c>
      <c r="B124" t="inlineStr">
        <is>
          <t>0-100 km</t>
        </is>
      </c>
      <c r="C124" t="inlineStr">
        <is>
          <t>100-150 km</t>
        </is>
      </c>
      <c r="D124" t="inlineStr">
        <is>
          <t>150-200 km</t>
        </is>
      </c>
      <c r="E124" t="inlineStr">
        <is>
          <t>200-300 km</t>
        </is>
      </c>
      <c r="F124" t="inlineStr">
        <is>
          <t>300-500 km</t>
        </is>
      </c>
      <c r="G124" t="inlineStr">
        <is>
          <t>&gt; 500 km (€/km supp)</t>
        </is>
      </c>
    </row>
    <row r="125">
      <c r="A125" t="inlineStr">
        <is>
          <t>Mob/Démob Radio</t>
        </is>
      </c>
      <c r="B125" t="n">
        <v>1000</v>
      </c>
      <c r="C125" t="n">
        <v>1200</v>
      </c>
      <c r="D125" t="n">
        <v>1500</v>
      </c>
      <c r="E125" t="n">
        <v>2000</v>
      </c>
      <c r="F125" t="n">
        <v>3000</v>
      </c>
      <c r="G125" t="n">
        <v>5</v>
      </c>
    </row>
    <row r="126">
      <c r="A126" t="inlineStr">
        <is>
          <t>Mob/Démob Ultrasons</t>
        </is>
      </c>
      <c r="B126" t="n">
        <v>800</v>
      </c>
      <c r="C126" t="n">
        <v>1000</v>
      </c>
      <c r="D126" t="n">
        <v>1200</v>
      </c>
      <c r="E126" t="n">
        <v>1600</v>
      </c>
      <c r="F126" t="n">
        <v>2400</v>
      </c>
      <c r="G126" t="n">
        <v>4</v>
      </c>
    </row>
    <row r="127">
      <c r="A127" t="inlineStr">
        <is>
          <t>Mob/Démob Ressuage</t>
        </is>
      </c>
      <c r="B127" t="n">
        <v>600</v>
      </c>
      <c r="C127" t="n">
        <v>800</v>
      </c>
      <c r="D127" t="n">
        <v>1000</v>
      </c>
      <c r="E127" t="n">
        <v>1300</v>
      </c>
      <c r="F127" t="n">
        <v>2000</v>
      </c>
      <c r="G127" t="n">
        <v>3</v>
      </c>
    </row>
    <row r="129">
      <c r="A129" t="inlineStr">
        <is>
          <t>7c. PRIX PAR FILM / CONTRÔLE (par tranche DN)</t>
        </is>
      </c>
    </row>
    <row r="131">
      <c r="A131" t="inlineStr">
        <is>
          <t>Tranche DN</t>
        </is>
      </c>
      <c r="B131" t="inlineStr">
        <is>
          <t>Radio</t>
        </is>
      </c>
      <c r="C131" t="inlineStr">
        <is>
          <t>Ultrasons</t>
        </is>
      </c>
      <c r="D131" t="inlineStr">
        <is>
          <t>Ressuage</t>
        </is>
      </c>
      <c r="E131" t="inlineStr">
        <is>
          <t>DN min</t>
        </is>
      </c>
      <c r="F131" t="inlineStr">
        <is>
          <t>DN max</t>
        </is>
      </c>
    </row>
    <row r="132">
      <c r="A132" t="inlineStr">
        <is>
          <t>DN 15 à 65</t>
        </is>
      </c>
      <c r="B132" t="n">
        <v>50</v>
      </c>
      <c r="C132" t="n">
        <v>40</v>
      </c>
      <c r="D132" t="n">
        <v>30</v>
      </c>
      <c r="E132" t="n">
        <v>15</v>
      </c>
      <c r="F132" t="n">
        <v>65</v>
      </c>
    </row>
    <row r="133">
      <c r="A133" t="inlineStr">
        <is>
          <t>DN 80 à 200</t>
        </is>
      </c>
      <c r="B133" t="n">
        <v>100</v>
      </c>
      <c r="C133" t="n">
        <v>80</v>
      </c>
      <c r="D133" t="n">
        <v>60</v>
      </c>
      <c r="E133" t="n">
        <v>80</v>
      </c>
      <c r="F133" t="n">
        <v>200</v>
      </c>
    </row>
    <row r="134">
      <c r="A134" t="inlineStr">
        <is>
          <t>DN 250 à 400</t>
        </is>
      </c>
      <c r="B134" t="n">
        <v>150</v>
      </c>
      <c r="C134" t="n">
        <v>120</v>
      </c>
      <c r="D134" t="n">
        <v>90</v>
      </c>
      <c r="E134" t="n">
        <v>250</v>
      </c>
      <c r="F134" t="n">
        <v>400</v>
      </c>
    </row>
    <row r="135">
      <c r="A135" t="inlineStr">
        <is>
          <t>DN 450 à 600</t>
        </is>
      </c>
      <c r="B135" t="n">
        <v>200</v>
      </c>
      <c r="C135" t="n">
        <v>160</v>
      </c>
      <c r="D135" t="n">
        <v>120</v>
      </c>
      <c r="E135" t="n">
        <v>450</v>
      </c>
      <c r="F135" t="n">
        <v>600</v>
      </c>
    </row>
    <row r="137">
      <c r="A137" t="inlineStr">
        <is>
          <t>8. SUPPORTAGE</t>
        </is>
      </c>
    </row>
    <row r="139">
      <c r="A139" t="inlineStr">
        <is>
          <t>Type de support</t>
        </is>
      </c>
      <c r="B139" t="inlineStr">
        <is>
          <t>Fourniture</t>
        </is>
      </c>
      <c r="C139" t="inlineStr">
        <is>
          <t>MO (h / support)</t>
        </is>
      </c>
      <c r="D139" t="inlineStr">
        <is>
          <t>Prix de vente d'un support</t>
        </is>
      </c>
    </row>
    <row r="140">
      <c r="A140" t="inlineStr">
        <is>
          <t>Suspendu</t>
        </is>
      </c>
      <c r="B140" t="n">
        <v>50</v>
      </c>
      <c r="C140" t="n">
        <v>1</v>
      </c>
      <c r="D140" t="n">
        <v>150</v>
      </c>
    </row>
    <row r="141">
      <c r="A141" t="inlineStr">
        <is>
          <t>Mural</t>
        </is>
      </c>
      <c r="B141" t="n">
        <v>60</v>
      </c>
      <c r="C141" t="n">
        <v>1.5</v>
      </c>
      <c r="D141" t="n">
        <v>210</v>
      </c>
    </row>
    <row r="142">
      <c r="A142" t="inlineStr">
        <is>
          <t>IPN Vertical</t>
        </is>
      </c>
      <c r="B142" t="n">
        <v>120</v>
      </c>
      <c r="C142" t="n">
        <v>2</v>
      </c>
      <c r="D142" t="n">
        <v>320</v>
      </c>
    </row>
    <row r="143">
      <c r="A143" t="inlineStr">
        <is>
          <t>H avec pied</t>
        </is>
      </c>
      <c r="B143" t="n">
        <v>150</v>
      </c>
      <c r="C143" t="n">
        <v>2</v>
      </c>
      <c r="D143" t="n">
        <v>350</v>
      </c>
    </row>
    <row r="145">
      <c r="A145" t="inlineStr">
        <is>
          <t>9. CALORIFUGEAGE</t>
        </is>
      </c>
    </row>
    <row r="147">
      <c r="A147" t="inlineStr">
        <is>
          <t>DN</t>
        </is>
      </c>
      <c r="B147" t="inlineStr">
        <is>
          <t>Ø ext.</t>
        </is>
      </c>
      <c r="C147" t="inlineStr">
        <is>
          <t>Fourn. droite Laine (€/ml)</t>
        </is>
      </c>
      <c r="D147" t="inlineStr">
        <is>
          <t>Fourn. droite PVC (€/ml)</t>
        </is>
      </c>
      <c r="E147" t="inlineStr">
        <is>
          <t>Fourn. droite Isoxal (€/ml)</t>
        </is>
      </c>
      <c r="F147" t="inlineStr">
        <is>
          <t>Fourn. coude Laine (€/u)</t>
        </is>
      </c>
      <c r="G147" t="inlineStr">
        <is>
          <t>Fourn. coude PVC (€/u)</t>
        </is>
      </c>
      <c r="H147" t="inlineStr">
        <is>
          <t>Fourn. coude Isoxal (€/u)</t>
        </is>
      </c>
      <c r="I147" t="inlineStr">
        <is>
          <t>MO droite PVC (h/ml)</t>
        </is>
      </c>
      <c r="J147" t="inlineStr">
        <is>
          <t>MO droite Isoxal (h/ml)</t>
        </is>
      </c>
      <c r="K147" t="inlineStr">
        <is>
          <t>MO coude PVC (h/u)</t>
        </is>
      </c>
      <c r="L147" t="inlineStr">
        <is>
          <t>MO coude Isoxal (h/u)</t>
        </is>
      </c>
    </row>
    <row r="148">
      <c r="A148" t="n">
        <v>40</v>
      </c>
      <c r="B148" t="n">
        <v>140</v>
      </c>
      <c r="C148" t="n">
        <v>14</v>
      </c>
      <c r="D148" t="n">
        <v>9</v>
      </c>
      <c r="E148" t="n">
        <v>12</v>
      </c>
      <c r="F148" t="n">
        <v>28</v>
      </c>
      <c r="G148" t="n">
        <v>18</v>
      </c>
      <c r="H148" t="n">
        <v>23</v>
      </c>
      <c r="I148" t="n">
        <v>0.2</v>
      </c>
      <c r="J148" t="n">
        <v>0.3</v>
      </c>
      <c r="K148" t="n">
        <v>0.5</v>
      </c>
      <c r="L148" t="n">
        <v>0.7</v>
      </c>
    </row>
    <row r="149">
      <c r="A149" t="n">
        <v>50</v>
      </c>
      <c r="B149" t="n">
        <v>150</v>
      </c>
      <c r="C149" t="n">
        <v>15</v>
      </c>
      <c r="D149" t="n">
        <v>10</v>
      </c>
      <c r="E149" t="n">
        <v>13</v>
      </c>
      <c r="F149" t="n">
        <v>30</v>
      </c>
      <c r="G149" t="n">
        <v>20</v>
      </c>
      <c r="H149" t="n">
        <v>25</v>
      </c>
      <c r="I149" t="n">
        <v>0.2</v>
      </c>
      <c r="J149" t="n">
        <v>0.3</v>
      </c>
      <c r="K149" t="n">
        <v>0.5</v>
      </c>
      <c r="L149" t="n">
        <v>0.7</v>
      </c>
    </row>
    <row r="150">
      <c r="A150" t="n">
        <v>65</v>
      </c>
      <c r="B150" t="n">
        <v>165</v>
      </c>
      <c r="C150" t="n">
        <v>16.5</v>
      </c>
      <c r="D150" t="n">
        <v>11.5</v>
      </c>
      <c r="E150" t="n">
        <v>14.5</v>
      </c>
      <c r="F150" t="n">
        <v>33</v>
      </c>
      <c r="G150" t="n">
        <v>23</v>
      </c>
      <c r="H150" t="n">
        <v>28</v>
      </c>
      <c r="I150" t="n">
        <v>0.2</v>
      </c>
      <c r="J150" t="n">
        <v>0.3</v>
      </c>
      <c r="K150" t="n">
        <v>0.5</v>
      </c>
      <c r="L150" t="n">
        <v>0.7</v>
      </c>
    </row>
    <row r="151">
      <c r="A151" t="n">
        <v>80</v>
      </c>
      <c r="B151" t="n">
        <v>180</v>
      </c>
      <c r="C151" t="n">
        <v>18</v>
      </c>
      <c r="D151" t="n">
        <v>13</v>
      </c>
      <c r="E151" t="n">
        <v>16</v>
      </c>
      <c r="F151" t="n">
        <v>36</v>
      </c>
      <c r="G151" t="n">
        <v>26</v>
      </c>
      <c r="H151" t="n">
        <v>31</v>
      </c>
      <c r="I151" t="n">
        <v>0.2</v>
      </c>
      <c r="J151" t="n">
        <v>0.3</v>
      </c>
      <c r="K151" t="n">
        <v>0.5</v>
      </c>
      <c r="L151" t="n">
        <v>0.7</v>
      </c>
    </row>
    <row r="152">
      <c r="A152" t="n">
        <v>100</v>
      </c>
      <c r="B152" t="n">
        <v>200</v>
      </c>
      <c r="C152" t="n">
        <v>20</v>
      </c>
      <c r="D152" t="n">
        <v>15</v>
      </c>
      <c r="E152" t="n">
        <v>18</v>
      </c>
      <c r="F152" t="n">
        <v>40</v>
      </c>
      <c r="G152" t="n">
        <v>30</v>
      </c>
      <c r="H152" t="n">
        <v>35</v>
      </c>
      <c r="I152" t="n">
        <v>0.2</v>
      </c>
      <c r="J152" t="n">
        <v>0.3</v>
      </c>
      <c r="K152" t="n">
        <v>0.5</v>
      </c>
      <c r="L152" t="n">
        <v>0.7</v>
      </c>
    </row>
    <row r="153">
      <c r="A153" t="n">
        <v>125</v>
      </c>
      <c r="B153" t="n">
        <v>225</v>
      </c>
      <c r="C153" t="n">
        <v>22.5</v>
      </c>
      <c r="D153" t="n">
        <v>17.5</v>
      </c>
      <c r="E153" t="n">
        <v>20.5</v>
      </c>
      <c r="F153" t="n">
        <v>45</v>
      </c>
      <c r="G153" t="n">
        <v>35</v>
      </c>
      <c r="H153" t="n">
        <v>40</v>
      </c>
      <c r="I153" t="n">
        <v>0.2</v>
      </c>
      <c r="J153" t="n">
        <v>0.3</v>
      </c>
      <c r="K153" t="n">
        <v>0.5</v>
      </c>
      <c r="L153" t="n">
        <v>0.7</v>
      </c>
    </row>
    <row r="154">
      <c r="A154" t="n">
        <v>150</v>
      </c>
      <c r="B154" t="n">
        <v>250</v>
      </c>
      <c r="C154" t="n">
        <v>25</v>
      </c>
      <c r="D154" t="n">
        <v>20</v>
      </c>
      <c r="E154" t="n">
        <v>23</v>
      </c>
      <c r="F154" t="n">
        <v>50</v>
      </c>
      <c r="G154" t="n">
        <v>40</v>
      </c>
      <c r="H154" t="n">
        <v>45</v>
      </c>
      <c r="I154" t="n">
        <v>0.2</v>
      </c>
      <c r="J154" t="n">
        <v>0.3</v>
      </c>
      <c r="K154" t="n">
        <v>0.5</v>
      </c>
      <c r="L154" t="n">
        <v>0.7</v>
      </c>
    </row>
    <row r="155">
      <c r="A155" t="n">
        <v>200</v>
      </c>
      <c r="B155" t="n">
        <v>300</v>
      </c>
      <c r="C155" t="n">
        <v>30</v>
      </c>
      <c r="D155" t="n">
        <v>25</v>
      </c>
      <c r="E155" t="n">
        <v>28</v>
      </c>
      <c r="F155" t="n">
        <v>60</v>
      </c>
      <c r="G155" t="n">
        <v>50</v>
      </c>
      <c r="H155" t="n">
        <v>55</v>
      </c>
      <c r="I155" t="n">
        <v>0.2</v>
      </c>
      <c r="J155" t="n">
        <v>0.3</v>
      </c>
      <c r="K155" t="n">
        <v>0.5</v>
      </c>
      <c r="L155" t="n">
        <v>0.7</v>
      </c>
    </row>
    <row r="156">
      <c r="A156" t="n">
        <v>250</v>
      </c>
      <c r="B156" t="n">
        <v>350</v>
      </c>
      <c r="C156" t="n">
        <v>35</v>
      </c>
      <c r="D156" t="n">
        <v>30</v>
      </c>
      <c r="E156" t="n">
        <v>33</v>
      </c>
      <c r="F156" t="n">
        <v>70</v>
      </c>
      <c r="G156" t="n">
        <v>60</v>
      </c>
      <c r="H156" t="n">
        <v>65</v>
      </c>
      <c r="I156" t="n">
        <v>0.2</v>
      </c>
      <c r="J156" t="n">
        <v>0.3</v>
      </c>
      <c r="K156" t="n">
        <v>0.5</v>
      </c>
      <c r="L156" t="n">
        <v>0.7</v>
      </c>
    </row>
    <row r="157">
      <c r="A157" t="n">
        <v>300</v>
      </c>
      <c r="B157" t="n">
        <v>400</v>
      </c>
      <c r="C157" t="n">
        <v>40</v>
      </c>
      <c r="D157" t="n">
        <v>35</v>
      </c>
      <c r="E157" t="n">
        <v>38</v>
      </c>
      <c r="F157" t="n">
        <v>80</v>
      </c>
      <c r="G157" t="n">
        <v>70</v>
      </c>
      <c r="H157" t="n">
        <v>75</v>
      </c>
      <c r="I157" t="n">
        <v>0.2</v>
      </c>
      <c r="J157" t="n">
        <v>0.3</v>
      </c>
      <c r="K157" t="n">
        <v>0.5</v>
      </c>
      <c r="L157" t="n">
        <v>0.7</v>
      </c>
    </row>
    <row r="158">
      <c r="A158" t="n">
        <v>400</v>
      </c>
      <c r="B158" t="n">
        <v>500</v>
      </c>
      <c r="C158" t="n">
        <v>50</v>
      </c>
      <c r="D158" t="n">
        <v>45</v>
      </c>
      <c r="E158" t="n">
        <v>48</v>
      </c>
      <c r="F158" t="n">
        <v>100</v>
      </c>
      <c r="G158" t="n">
        <v>90</v>
      </c>
      <c r="H158" t="n">
        <v>95</v>
      </c>
      <c r="I158" t="n">
        <v>0.2</v>
      </c>
      <c r="J158" t="n">
        <v>0.3</v>
      </c>
      <c r="K158" t="n">
        <v>0.5</v>
      </c>
      <c r="L158" t="n">
        <v>0.7</v>
      </c>
    </row>
    <row r="160">
      <c r="A160" t="inlineStr">
        <is>
          <t>14. RCFA PAR CLIENT</t>
        </is>
      </c>
    </row>
    <row r="162">
      <c r="A162" t="inlineStr">
        <is>
          <t>Client</t>
        </is>
      </c>
      <c r="B162" t="inlineStr">
        <is>
          <t>Taux RCFA</t>
        </is>
      </c>
    </row>
    <row r="163">
      <c r="A163" t="inlineStr">
        <is>
          <t>CORIANCE</t>
        </is>
      </c>
      <c r="B163" t="n">
        <v>0.05</v>
      </c>
    </row>
    <row r="164">
      <c r="A164" t="inlineStr">
        <is>
          <t>ENGIE</t>
        </is>
      </c>
      <c r="B164" t="n">
        <v>0.04</v>
      </c>
    </row>
    <row r="165">
      <c r="A165" t="inlineStr">
        <is>
          <t>DALKIA</t>
        </is>
      </c>
      <c r="B165" t="n">
        <v>0.03</v>
      </c>
    </row>
    <row r="166">
      <c r="A166" t="inlineStr">
        <is>
          <t>IDEX</t>
        </is>
      </c>
      <c r="B166" t="n">
        <v>0</v>
      </c>
    </row>
    <row r="167">
      <c r="A167" t="inlineStr">
        <is>
          <t>EHTP</t>
        </is>
      </c>
      <c r="B167" t="n">
        <v>0.01</v>
      </c>
    </row>
    <row r="168">
      <c r="A168" t="inlineStr">
        <is>
          <t>AUTRE</t>
        </is>
      </c>
      <c r="B168" t="n">
        <v>0</v>
      </c>
    </row>
    <row r="170">
      <c r="A170" t="inlineStr">
        <is>
          <t>20. PARAMÈTRES</t>
        </is>
      </c>
    </row>
    <row r="172">
      <c r="A172" t="inlineStr">
        <is>
          <t>AR Benne Contener WC</t>
        </is>
      </c>
      <c r="B172" t="n">
        <v>150</v>
      </c>
    </row>
    <row r="173">
      <c r="A173" t="inlineStr">
        <is>
          <t>AR Pelle</t>
        </is>
      </c>
      <c r="B173" t="n">
        <v>300</v>
      </c>
    </row>
    <row r="174">
      <c r="A174" t="inlineStr">
        <is>
          <t>Abattement Pelle Gros Chantier</t>
        </is>
      </c>
      <c r="B174" t="n">
        <v>0.2</v>
      </c>
    </row>
    <row r="175">
      <c r="A175" t="inlineStr">
        <is>
          <t>Adoucisseur 15</t>
        </is>
      </c>
      <c r="B175" t="n">
        <v>800</v>
      </c>
    </row>
    <row r="176">
      <c r="A176" t="inlineStr">
        <is>
          <t>Adoucisseur 5</t>
        </is>
      </c>
      <c r="B176" t="n">
        <v>500</v>
      </c>
    </row>
    <row r="177">
      <c r="A177" t="inlineStr">
        <is>
          <t>Amene Repli Equipe</t>
        </is>
      </c>
      <c r="B177" t="n">
        <v>1000</v>
      </c>
    </row>
    <row r="178">
      <c r="A178" t="inlineStr">
        <is>
          <t>Boitier Plexo</t>
        </is>
      </c>
      <c r="B178" t="n">
        <v>10</v>
      </c>
    </row>
    <row r="179">
      <c r="A179" t="inlineStr">
        <is>
          <t>Boulet Compresseur Type 1</t>
        </is>
      </c>
      <c r="B179" t="n">
        <v>200</v>
      </c>
    </row>
    <row r="180">
      <c r="A180" t="inlineStr">
        <is>
          <t>Boulet Compresseur Type 2</t>
        </is>
      </c>
      <c r="B180" t="n">
        <v>300</v>
      </c>
    </row>
    <row r="181">
      <c r="A181" t="inlineStr">
        <is>
          <t>Boulet Compresseur Type 3</t>
        </is>
      </c>
      <c r="B181" t="n">
        <v>400</v>
      </c>
    </row>
    <row r="182">
      <c r="A182" t="inlineStr">
        <is>
          <t>Boulet Duree Location Compresseur</t>
        </is>
      </c>
      <c r="B182" t="n">
        <v>2</v>
      </c>
    </row>
    <row r="183">
      <c r="A183" t="inlineStr">
        <is>
          <t>Boulet Duree Location Pelle</t>
        </is>
      </c>
      <c r="B183" t="n">
        <v>4</v>
      </c>
    </row>
    <row r="184">
      <c r="A184" t="inlineStr">
        <is>
          <t>Boulet Location Pelle h</t>
        </is>
      </c>
      <c r="B184" t="n">
        <v>60</v>
      </c>
    </row>
    <row r="185">
      <c r="A185" t="inlineStr">
        <is>
          <t>Boulet MO AR Compresseur Pers</t>
        </is>
      </c>
      <c r="B185" t="n">
        <v>1</v>
      </c>
    </row>
    <row r="186">
      <c r="A186" t="inlineStr">
        <is>
          <t>Boulet MO AR Compresseur h</t>
        </is>
      </c>
      <c r="B186" t="n">
        <v>2</v>
      </c>
    </row>
    <row r="187">
      <c r="A187" t="inlineStr">
        <is>
          <t>Boulet MO Extremites Pers</t>
        </is>
      </c>
      <c r="B187" t="n">
        <v>2</v>
      </c>
    </row>
    <row r="188">
      <c r="A188" t="inlineStr">
        <is>
          <t>Boulet MO Extremites h</t>
        </is>
      </c>
      <c r="B188" t="n">
        <v>2</v>
      </c>
    </row>
    <row r="189">
      <c r="A189" t="inlineStr">
        <is>
          <t>Boulet MO Piston Pers</t>
        </is>
      </c>
      <c r="B189" t="n">
        <v>2</v>
      </c>
    </row>
    <row r="190">
      <c r="A190" t="inlineStr">
        <is>
          <t>Boulet MO Piston h</t>
        </is>
      </c>
      <c r="B190" t="n">
        <v>1</v>
      </c>
    </row>
    <row r="191">
      <c r="A191" t="inlineStr">
        <is>
          <t>Boulet MO Poussee Pers</t>
        </is>
      </c>
      <c r="B191" t="n">
        <v>2</v>
      </c>
    </row>
    <row r="192">
      <c r="A192" t="inlineStr">
        <is>
          <t>Boulet MO Poussee h</t>
        </is>
      </c>
      <c r="B192" t="n">
        <v>2</v>
      </c>
    </row>
    <row r="193">
      <c r="A193" t="inlineStr">
        <is>
          <t>Boulet MO Retrait Pers</t>
        </is>
      </c>
      <c r="B193" t="n">
        <v>2</v>
      </c>
    </row>
    <row r="194">
      <c r="A194" t="inlineStr">
        <is>
          <t>Boulet MO Retrait h</t>
        </is>
      </c>
      <c r="B194" t="n">
        <v>1</v>
      </c>
    </row>
    <row r="195">
      <c r="A195" t="inlineStr">
        <is>
          <t>Boulet Nb Bobines</t>
        </is>
      </c>
      <c r="B195" t="n">
        <v>2</v>
      </c>
    </row>
    <row r="196">
      <c r="A196" t="inlineStr">
        <is>
          <t>Boulet Nb Boulets</t>
        </is>
      </c>
      <c r="B196" t="n">
        <v>2</v>
      </c>
    </row>
    <row r="197">
      <c r="A197" t="inlineStr">
        <is>
          <t>Boulet Nb Fonds Bombes</t>
        </is>
      </c>
      <c r="B197" t="n">
        <v>2</v>
      </c>
    </row>
    <row r="198">
      <c r="A198" t="inlineStr">
        <is>
          <t>Boulet Nb Tetes Chat</t>
        </is>
      </c>
      <c r="B198" t="n">
        <v>1</v>
      </c>
    </row>
    <row r="199">
      <c r="A199" t="inlineStr">
        <is>
          <t>Boulet Nb Vannes BS PR</t>
        </is>
      </c>
      <c r="B199" t="n">
        <v>2</v>
      </c>
    </row>
    <row r="200">
      <c r="A200" t="inlineStr">
        <is>
          <t>Boulet Prix Tete Chat</t>
        </is>
      </c>
      <c r="B200" t="n">
        <v>50</v>
      </c>
    </row>
    <row r="201">
      <c r="A201" t="inlineStr">
        <is>
          <t>Calo Nb Pers Deplacement</t>
        </is>
      </c>
      <c r="B201" t="n">
        <v>2</v>
      </c>
    </row>
    <row r="202">
      <c r="A202" t="inlineStr">
        <is>
          <t>Camion Plateau</t>
        </is>
      </c>
      <c r="B202" t="n">
        <v>40</v>
      </c>
    </row>
    <row r="203">
      <c r="A203" t="inlineStr">
        <is>
          <t>Conservation Circulation</t>
        </is>
      </c>
      <c r="B203" t="n">
        <v>0.5</v>
      </c>
    </row>
    <row r="204">
      <c r="A204" t="inlineStr">
        <is>
          <t>Conservation Dechets</t>
        </is>
      </c>
      <c r="B204" t="n">
        <v>200</v>
      </c>
    </row>
    <row r="205">
      <c r="A205" t="inlineStr">
        <is>
          <t>Conservation Dosage</t>
        </is>
      </c>
      <c r="B205" t="n">
        <v>1</v>
      </c>
    </row>
    <row r="206">
      <c r="A206" t="inlineStr">
        <is>
          <t>Conservation Produit</t>
        </is>
      </c>
      <c r="B206" t="n">
        <v>10</v>
      </c>
    </row>
    <row r="207">
      <c r="A207" t="inlineStr">
        <is>
          <t>Conservation Remplissage</t>
        </is>
      </c>
      <c r="B207" t="n">
        <v>0.5</v>
      </c>
    </row>
    <row r="208">
      <c r="A208" t="inlineStr">
        <is>
          <t>Conservation Vidange</t>
        </is>
      </c>
      <c r="B208" t="n">
        <v>0.5</v>
      </c>
    </row>
    <row r="209">
      <c r="A209" t="inlineStr">
        <is>
          <t>Cout Journee Benne</t>
        </is>
      </c>
      <c r="B209" t="n">
        <v>20</v>
      </c>
    </row>
    <row r="210">
      <c r="A210" t="inlineStr">
        <is>
          <t>Cout Journee Contener</t>
        </is>
      </c>
      <c r="B210" t="n">
        <v>10</v>
      </c>
    </row>
    <row r="211">
      <c r="A211" t="inlineStr">
        <is>
          <t>Cout Journee Pelle</t>
        </is>
      </c>
      <c r="B211" t="n">
        <v>200</v>
      </c>
    </row>
    <row r="212">
      <c r="A212" t="inlineStr">
        <is>
          <t>Cout Journee WC</t>
        </is>
      </c>
      <c r="B212" t="n">
        <v>5</v>
      </c>
    </row>
    <row r="213">
      <c r="A213" t="inlineStr">
        <is>
          <t>DN Accessoires Injection</t>
        </is>
      </c>
      <c r="B213" t="n">
        <v>20</v>
      </c>
    </row>
    <row r="214">
      <c r="A214" t="inlineStr">
        <is>
          <t>Dechets DIB Tonne</t>
        </is>
      </c>
      <c r="B214" t="n">
        <v>100</v>
      </c>
    </row>
    <row r="215">
      <c r="A215" t="inlineStr">
        <is>
          <t>Depose Arrondi Prix MO</t>
        </is>
      </c>
      <c r="B215" t="n">
        <v>500</v>
      </c>
    </row>
    <row r="216">
      <c r="A216" t="inlineStr">
        <is>
          <t>Depose Espacement Coupes</t>
        </is>
      </c>
      <c r="B216" t="n">
        <v>5</v>
      </c>
    </row>
    <row r="217">
      <c r="A217" t="inlineStr">
        <is>
          <t>Depose Volume Rotation</t>
        </is>
      </c>
      <c r="B217" t="n">
        <v>8</v>
      </c>
    </row>
    <row r="218">
      <c r="A218" t="inlineStr">
        <is>
          <t>EauAdoucie Eau m3</t>
        </is>
      </c>
      <c r="B218" t="n">
        <v>5</v>
      </c>
    </row>
    <row r="219">
      <c r="A219" t="inlineStr">
        <is>
          <t>EauAdoucie Flexible</t>
        </is>
      </c>
      <c r="B219" t="n">
        <v>100</v>
      </c>
    </row>
    <row r="220">
      <c r="A220" t="inlineStr">
        <is>
          <t>EauAdoucie Mise En Service</t>
        </is>
      </c>
      <c r="B220" t="n">
        <v>2</v>
      </c>
    </row>
    <row r="221">
      <c r="A221" t="inlineStr">
        <is>
          <t>EauAdoucie Sel</t>
        </is>
      </c>
      <c r="B221" t="n">
        <v>2</v>
      </c>
    </row>
    <row r="222">
      <c r="A222" t="inlineStr">
        <is>
          <t>EauAdoucie Soude</t>
        </is>
      </c>
      <c r="B222" t="n">
        <v>3</v>
      </c>
    </row>
    <row r="223">
      <c r="A223" t="inlineStr">
        <is>
          <t>Epreuve Debit Poteau</t>
        </is>
      </c>
      <c r="B223" t="n">
        <v>30</v>
      </c>
    </row>
    <row r="224">
      <c r="A224" t="inlineStr">
        <is>
          <t>Epreuve Eau m3</t>
        </is>
      </c>
      <c r="B224" t="n">
        <v>5</v>
      </c>
    </row>
    <row r="225">
      <c r="A225" t="inlineStr">
        <is>
          <t>Epreuve Hydrocureur h</t>
        </is>
      </c>
      <c r="B225" t="n">
        <v>150</v>
      </c>
    </row>
    <row r="226">
      <c r="A226" t="inlineStr">
        <is>
          <t>Epreuve MO Decompression</t>
        </is>
      </c>
      <c r="B226" t="n">
        <v>1</v>
      </c>
    </row>
    <row r="227">
      <c r="A227" t="inlineStr">
        <is>
          <t>Epreuve MO Montee Pression</t>
        </is>
      </c>
      <c r="B227" t="n">
        <v>2</v>
      </c>
    </row>
    <row r="228">
      <c r="A228" t="inlineStr">
        <is>
          <t>Epreuve Mise En Place</t>
        </is>
      </c>
      <c r="B228" t="n">
        <v>2</v>
      </c>
    </row>
    <row r="229">
      <c r="A229" t="inlineStr">
        <is>
          <t>Epreuve Plafond Duree</t>
        </is>
      </c>
      <c r="B229" t="n">
        <v>10</v>
      </c>
    </row>
    <row r="230">
      <c r="A230" t="inlineStr">
        <is>
          <t>Epreuve Pompe</t>
        </is>
      </c>
      <c r="B230" t="n">
        <v>100</v>
      </c>
    </row>
    <row r="231">
      <c r="A231" t="inlineStr">
        <is>
          <t>Epreuve Rapport</t>
        </is>
      </c>
      <c r="B231" t="n">
        <v>100</v>
      </c>
    </row>
    <row r="232">
      <c r="A232" t="inlineStr">
        <is>
          <t>Etiquette Marquage</t>
        </is>
      </c>
      <c r="B232" t="n">
        <v>10</v>
      </c>
    </row>
    <row r="233">
      <c r="A233" t="inlineStr">
        <is>
          <t>Foncage Colliers Sup</t>
        </is>
      </c>
      <c r="B233" t="n">
        <v>2</v>
      </c>
    </row>
    <row r="234">
      <c r="A234" t="inlineStr">
        <is>
          <t>Foncage Espacement Colliers</t>
        </is>
      </c>
      <c r="B234" t="n">
        <v>1.5</v>
      </c>
    </row>
    <row r="235">
      <c r="A235" t="inlineStr">
        <is>
          <t>Foncage Nb Films Vacation</t>
        </is>
      </c>
      <c r="B235" t="n">
        <v>4</v>
      </c>
    </row>
    <row r="236">
      <c r="A236" t="inlineStr">
        <is>
          <t>Foncage Nb Obturateurs</t>
        </is>
      </c>
      <c r="B236" t="n">
        <v>2</v>
      </c>
    </row>
    <row r="237">
      <c r="A237" t="inlineStr">
        <is>
          <t>Foncage Nb Tubes</t>
        </is>
      </c>
      <c r="B237" t="n">
        <v>2</v>
      </c>
    </row>
    <row r="238">
      <c r="A238" t="inlineStr">
        <is>
          <t>Foncage Prix Obturateur</t>
        </is>
      </c>
      <c r="B238" t="n">
        <v>100</v>
      </c>
    </row>
    <row r="239">
      <c r="A239" t="inlineStr">
        <is>
          <t>Foncage Ratio Segments h</t>
        </is>
      </c>
      <c r="B239" t="n">
        <v>10</v>
      </c>
    </row>
    <row r="240">
      <c r="A240" t="inlineStr">
        <is>
          <t>Foncage Transport Colliers</t>
        </is>
      </c>
      <c r="B240" t="n">
        <v>200</v>
      </c>
    </row>
    <row r="241">
      <c r="A241" t="inlineStr">
        <is>
          <t>Groupe Transfo Jour</t>
        </is>
      </c>
      <c r="B241" t="n">
        <v>100</v>
      </c>
    </row>
    <row r="242">
      <c r="A242" t="inlineStr">
        <is>
          <t>Heures Par Jour</t>
        </is>
      </c>
      <c r="B242" t="n">
        <v>10</v>
      </c>
    </row>
    <row r="243">
      <c r="A243" t="inlineStr">
        <is>
          <t>Journee Pelle Complete</t>
        </is>
      </c>
      <c r="B243" t="n">
        <v>2000</v>
      </c>
    </row>
    <row r="244">
      <c r="A244" t="inlineStr">
        <is>
          <t>MO Pose Boitiers</t>
        </is>
      </c>
      <c r="B244" t="n">
        <v>0.5</v>
      </c>
    </row>
    <row r="245">
      <c r="A245" t="inlineStr">
        <is>
          <t>Nb Boitiers Par Vanne</t>
        </is>
      </c>
      <c r="B245" t="n">
        <v>2</v>
      </c>
    </row>
    <row r="246">
      <c r="A246" t="inlineStr">
        <is>
          <t>Nb Remplissages</t>
        </is>
      </c>
      <c r="B246" t="n">
        <v>2</v>
      </c>
    </row>
    <row r="247">
      <c r="A247" t="inlineStr">
        <is>
          <t>Passivation Circulation</t>
        </is>
      </c>
      <c r="B247" t="n">
        <v>0.5</v>
      </c>
    </row>
    <row r="248">
      <c r="A248" t="inlineStr">
        <is>
          <t>Passivation Dechets</t>
        </is>
      </c>
      <c r="B248" t="n">
        <v>200</v>
      </c>
    </row>
    <row r="249">
      <c r="A249" t="inlineStr">
        <is>
          <t>Passivation Dosage</t>
        </is>
      </c>
      <c r="B249" t="n">
        <v>1</v>
      </c>
    </row>
    <row r="250">
      <c r="A250" t="inlineStr">
        <is>
          <t>Passivation Produit</t>
        </is>
      </c>
      <c r="B250" t="n">
        <v>10</v>
      </c>
    </row>
    <row r="251">
      <c r="A251" t="inlineStr">
        <is>
          <t>Peinture Aerien ml</t>
        </is>
      </c>
      <c r="B251" t="n">
        <v>5</v>
      </c>
    </row>
    <row r="252">
      <c r="A252" t="inlineStr">
        <is>
          <t>Peinture SST Gros DN</t>
        </is>
      </c>
      <c r="B252" t="n">
        <v>40</v>
      </c>
    </row>
    <row r="253">
      <c r="A253" t="inlineStr">
        <is>
          <t>Peinture SST Petit DN</t>
        </is>
      </c>
      <c r="B253" t="n">
        <v>20</v>
      </c>
    </row>
    <row r="254">
      <c r="A254" t="inlineStr">
        <is>
          <t>Peinture SST Seuil DN</t>
        </is>
      </c>
      <c r="B254" t="n">
        <v>100</v>
      </c>
    </row>
    <row r="255">
      <c r="A255" t="inlineStr">
        <is>
          <t>Petite Grue</t>
        </is>
      </c>
      <c r="B255" t="n">
        <v>80</v>
      </c>
    </row>
    <row r="256">
      <c r="A256" t="inlineStr">
        <is>
          <t>Prix Certificat</t>
        </is>
      </c>
      <c r="B256" t="n">
        <v>30</v>
      </c>
    </row>
    <row r="257">
      <c r="A257" t="inlineStr">
        <is>
          <t>Purgeur Auto</t>
        </is>
      </c>
      <c r="B257" t="n">
        <v>200</v>
      </c>
    </row>
    <row r="258">
      <c r="A258" t="inlineStr">
        <is>
          <t>Rallonge Vanne Preisolee</t>
        </is>
      </c>
      <c r="B258" t="n">
        <v>50</v>
      </c>
    </row>
    <row r="259">
      <c r="A259" t="inlineStr">
        <is>
          <t>Ratio Dechets</t>
        </is>
      </c>
      <c r="B259" t="n">
        <v>0.05</v>
      </c>
    </row>
    <row r="260">
      <c r="A260" t="inlineStr">
        <is>
          <t>Rincage Amortissement SKID</t>
        </is>
      </c>
      <c r="B260" t="n">
        <v>200</v>
      </c>
    </row>
    <row r="261">
      <c r="A261" t="inlineStr">
        <is>
          <t>Rincage Chasse</t>
        </is>
      </c>
      <c r="B261" t="n">
        <v>0.5</v>
      </c>
    </row>
    <row r="262">
      <c r="A262" t="inlineStr">
        <is>
          <t>Rincage Circulation</t>
        </is>
      </c>
      <c r="B262" t="n">
        <v>1</v>
      </c>
    </row>
    <row r="263">
      <c r="A263" t="inlineStr">
        <is>
          <t>Rincage Coefficient Chasse</t>
        </is>
      </c>
      <c r="B263" t="n">
        <v>2</v>
      </c>
    </row>
    <row r="264">
      <c r="A264" t="inlineStr">
        <is>
          <t>Rincage Dechets</t>
        </is>
      </c>
      <c r="B264" t="n">
        <v>200</v>
      </c>
    </row>
    <row r="265">
      <c r="A265" t="inlineStr">
        <is>
          <t>Rincage Eau m3</t>
        </is>
      </c>
      <c r="B265" t="n">
        <v>5</v>
      </c>
    </row>
    <row r="266">
      <c r="A266" t="inlineStr">
        <is>
          <t>Rincage Filtration</t>
        </is>
      </c>
      <c r="B266" t="n">
        <v>0.5</v>
      </c>
    </row>
    <row r="267">
      <c r="A267" t="inlineStr">
        <is>
          <t>Rincage MO Installation</t>
        </is>
      </c>
      <c r="B267" t="n">
        <v>2</v>
      </c>
    </row>
    <row r="268">
      <c r="A268" t="inlineStr">
        <is>
          <t>Rincage Rapport</t>
        </is>
      </c>
      <c r="B268" t="n">
        <v>100</v>
      </c>
    </row>
    <row r="269">
      <c r="A269" t="inlineStr">
        <is>
          <t>Rincage Repli</t>
        </is>
      </c>
      <c r="B269" t="n">
        <v>1</v>
      </c>
    </row>
    <row r="270">
      <c r="A270" t="inlineStr">
        <is>
          <t>Rincage Transport SKID</t>
        </is>
      </c>
      <c r="B270" t="n">
        <v>300</v>
      </c>
    </row>
    <row r="271">
      <c r="A271" t="inlineStr">
        <is>
          <t>Seuil Volume Compresseur 1</t>
        </is>
      </c>
      <c r="B271" t="n">
        <v>50</v>
      </c>
    </row>
    <row r="272">
      <c r="A272" t="inlineStr">
        <is>
          <t>Seuil Volume Compresseur 2</t>
        </is>
      </c>
      <c r="B272" t="n">
        <v>150</v>
      </c>
    </row>
    <row r="273">
      <c r="A273" t="inlineStr">
        <is>
          <t>Support Espacement Gros DN</t>
        </is>
      </c>
      <c r="B273" t="n">
        <v>2</v>
      </c>
    </row>
    <row r="274">
      <c r="A274" t="inlineStr">
        <is>
          <t>Support Espacement Petit DN</t>
        </is>
      </c>
      <c r="B274" t="n">
        <v>3</v>
      </c>
    </row>
    <row r="275">
      <c r="A275" t="inlineStr">
        <is>
          <t>Support Seuil DN</t>
        </is>
      </c>
      <c r="B275" t="n">
        <v>125</v>
      </c>
    </row>
    <row r="276">
      <c r="A276" t="inlineStr">
        <is>
          <t>Te Acier</t>
        </is>
      </c>
      <c r="B276" t="n">
        <v>10</v>
      </c>
    </row>
    <row r="277">
      <c r="A277" t="inlineStr">
        <is>
          <t>Transport Fournitures</t>
        </is>
      </c>
      <c r="B277" t="n">
        <v>100</v>
      </c>
    </row>
    <row r="278">
      <c r="A278" t="inlineStr">
        <is>
          <t>Volume Reference Ratios</t>
        </is>
      </c>
      <c r="B278" t="n">
        <v>30</v>
      </c>
    </row>
    <row r="281">
      <c r="A281" t="inlineStr">
        <is>
          <t>21. LISTE PIÈCES — PANIER SUR MESURE</t>
        </is>
      </c>
    </row>
    <row r="283">
      <c r="A283" t="inlineStr">
        <is>
          <t>Pièce</t>
        </is>
      </c>
      <c r="B283" t="inlineStr">
        <is>
          <t>Col. fourniture</t>
        </is>
      </c>
      <c r="C283" t="inlineStr">
        <is>
          <t>Col. MO
(pièces préparées)</t>
        </is>
      </c>
    </row>
    <row r="284">
      <c r="A284" t="inlineStr">
        <is>
          <t>Bobines</t>
        </is>
      </c>
      <c r="B284" t="n">
        <v>2</v>
      </c>
    </row>
    <row r="285">
      <c r="A285" t="inlineStr">
        <is>
          <t>Coudes à visser</t>
        </is>
      </c>
      <c r="B285" t="n">
        <v>3</v>
      </c>
    </row>
    <row r="286">
      <c r="A286" t="inlineStr">
        <is>
          <t>Bouchon F</t>
        </is>
      </c>
      <c r="B286" t="n">
        <v>4</v>
      </c>
    </row>
    <row r="287">
      <c r="A287" t="inlineStr">
        <is>
          <t>Tubes acier 6ml</t>
        </is>
      </c>
      <c r="B287" t="n">
        <v>8</v>
      </c>
    </row>
    <row r="288">
      <c r="A288" t="inlineStr">
        <is>
          <t>Coudes à souder</t>
        </is>
      </c>
      <c r="B288" t="n">
        <v>9</v>
      </c>
    </row>
    <row r="289">
      <c r="A289" t="inlineStr">
        <is>
          <t>Fonds bombés</t>
        </is>
      </c>
      <c r="B289" t="n">
        <v>10</v>
      </c>
    </row>
  </sheetData>
  <pageMargins left="0.75" right="0.75" top="1" bottom="1" header="0.5" footer="0.5"/>
  <tableParts count="11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OPÉRATION — PANIERS (MAQUETTE DE TEST)</t>
        </is>
      </c>
    </row>
    <row r="2"/>
    <row r="3">
      <c r="A3" t="inlineStr">
        <is>
          <t>RÉFÉRENCE ÉQUIPES</t>
        </is>
      </c>
    </row>
    <row r="4"/>
    <row r="5">
      <c r="A5" t="inlineStr">
        <is>
          <t>Code</t>
        </is>
      </c>
      <c r="B5" t="inlineStr">
        <is>
          <t>Nb pers</t>
        </is>
      </c>
      <c r="C5" t="inlineStr">
        <is>
          <t>Taux horaire</t>
        </is>
      </c>
    </row>
    <row r="6">
      <c r="A6" t="inlineStr">
        <is>
          <t>S</t>
        </is>
      </c>
      <c r="B6" t="n">
        <v>1</v>
      </c>
      <c r="C6" t="n">
        <v>100</v>
      </c>
    </row>
    <row r="7">
      <c r="A7" t="inlineStr">
        <is>
          <t>S+T</t>
        </is>
      </c>
      <c r="B7" t="n">
        <v>2</v>
      </c>
      <c r="C7" t="n">
        <v>190</v>
      </c>
    </row>
    <row r="8">
      <c r="A8" t="inlineStr">
        <is>
          <t>S+T+P</t>
        </is>
      </c>
      <c r="B8" t="n">
        <v>3</v>
      </c>
      <c r="C8" t="n">
        <v>275</v>
      </c>
    </row>
    <row r="9">
      <c r="A9" t="inlineStr">
        <is>
          <t>M</t>
        </is>
      </c>
      <c r="B9" t="n">
        <v>1</v>
      </c>
      <c r="C9" t="n">
        <v>80</v>
      </c>
    </row>
    <row r="10">
      <c r="A10" t="inlineStr">
        <is>
          <t>M+M</t>
        </is>
      </c>
      <c r="B10" t="n">
        <v>2</v>
      </c>
      <c r="C10" t="n">
        <v>160</v>
      </c>
    </row>
    <row r="11">
      <c r="A11" t="inlineStr">
        <is>
          <t>OS</t>
        </is>
      </c>
      <c r="B11" t="n">
        <v>1</v>
      </c>
      <c r="C11" t="n">
        <v>100</v>
      </c>
    </row>
    <row r="12">
      <c r="A12" t="inlineStr">
        <is>
          <t>OS+OS</t>
        </is>
      </c>
      <c r="B12" t="n">
        <v>2</v>
      </c>
      <c r="C12" t="n">
        <v>200</v>
      </c>
    </row>
    <row r="13">
      <c r="A13" t="inlineStr">
        <is>
          <t>OS+OS+OS</t>
        </is>
      </c>
      <c r="B13" t="n">
        <v>3</v>
      </c>
      <c r="C13" t="n">
        <v>300</v>
      </c>
    </row>
    <row r="14"/>
    <row r="15">
      <c r="A15" t="inlineStr">
        <is>
          <t>PURGE</t>
        </is>
      </c>
    </row>
    <row r="16"/>
    <row r="17">
      <c r="A17" t="inlineStr">
        <is>
          <t>DN</t>
        </is>
      </c>
      <c r="B17" t="inlineStr">
        <is>
          <t>Équipe</t>
        </is>
      </c>
      <c r="C17" t="inlineStr">
        <is>
          <t>Nb heures</t>
        </is>
      </c>
      <c r="D17" t="inlineStr">
        <is>
          <t>Taux horaire</t>
        </is>
      </c>
      <c r="E17" t="inlineStr">
        <is>
          <t>Montant MO</t>
        </is>
      </c>
      <c r="F17" t="inlineStr">
        <is>
          <t>Vanne ×2</t>
        </is>
      </c>
      <c r="G17" t="inlineStr">
        <is>
          <t>Bobine</t>
        </is>
      </c>
      <c r="H17" t="inlineStr">
        <is>
          <t>Coude ×4</t>
        </is>
      </c>
      <c r="I17" t="inlineStr">
        <is>
          <t>Bouchon ×2</t>
        </is>
      </c>
      <c r="J17" t="inlineStr">
        <is>
          <t>Bande grasse</t>
        </is>
      </c>
      <c r="K17" t="inlineStr">
        <is>
          <t>Peinture</t>
        </is>
      </c>
      <c r="L17" t="inlineStr">
        <is>
          <t>Purgeur auto ×2</t>
        </is>
      </c>
      <c r="M17" t="inlineStr">
        <is>
          <t>Tés acier</t>
        </is>
      </c>
      <c r="N17" t="inlineStr">
        <is>
          <t>Total Fourn.</t>
        </is>
      </c>
      <c r="O17" t="inlineStr">
        <is>
          <t>TOTAL</t>
        </is>
      </c>
    </row>
    <row r="18">
      <c r="A18" t="n">
        <v>20</v>
      </c>
      <c r="B18" t="inlineStr">
        <is>
          <t>S+T</t>
        </is>
      </c>
      <c r="C18">
        <f>2*'Base MO'!$G$5/VLOOKUP(A18,'Base MO'!$A$24:$F$41,3,FALSE)</f>
        <v/>
      </c>
      <c r="D18" t="n">
        <v>190</v>
      </c>
      <c r="F18">
        <f>2*VLOOKUP(A18,FO_Vannes_Souder[],4,FALSE)</f>
        <v/>
      </c>
      <c r="G18">
        <f>VLOOKUP(A18,FO_Accessoires_Acier[],2,FALSE)</f>
        <v/>
      </c>
      <c r="H18">
        <f>4*VLOOKUP(A18,FO_Accessoires_Acier[],3,FALSE)</f>
        <v/>
      </c>
      <c r="I18">
        <f>2*VLOOKUP(A18,FO_Accessoires_Acier[],4,FALSE)</f>
        <v/>
      </c>
      <c r="J18" t="n">
        <v>50</v>
      </c>
      <c r="K18" t="n">
        <v>25</v>
      </c>
      <c r="L18">
        <f>2*FO_Purgeur_Auto</f>
        <v/>
      </c>
      <c r="M18">
        <f>FO_Te_Acier</f>
        <v/>
      </c>
    </row>
    <row r="19">
      <c r="A19" t="n">
        <v>25</v>
      </c>
      <c r="B19" t="inlineStr">
        <is>
          <t>S+T</t>
        </is>
      </c>
      <c r="C19">
        <f>2*'Base MO'!$G$5/VLOOKUP(A19,'Base MO'!$A$24:$F$41,3,FALSE)</f>
        <v/>
      </c>
      <c r="D19" t="n">
        <v>190</v>
      </c>
      <c r="F19">
        <f>2*VLOOKUP(A19,FO_Vannes_Souder[],4,FALSE)</f>
        <v/>
      </c>
      <c r="G19">
        <f>VLOOKUP(A19,FO_Accessoires_Acier[],2,FALSE)</f>
        <v/>
      </c>
      <c r="H19">
        <f>4*VLOOKUP(A19,FO_Accessoires_Acier[],3,FALSE)</f>
        <v/>
      </c>
      <c r="I19">
        <f>2*VLOOKUP(A19,FO_Accessoires_Acier[],4,FALSE)</f>
        <v/>
      </c>
      <c r="J19" t="n">
        <v>50</v>
      </c>
      <c r="K19" t="n">
        <v>25</v>
      </c>
      <c r="L19">
        <f>2*FO_Purgeur_Auto</f>
        <v/>
      </c>
      <c r="M19">
        <f>FO_Te_Acier</f>
        <v/>
      </c>
    </row>
    <row r="20">
      <c r="A20" t="n">
        <v>32</v>
      </c>
      <c r="B20" t="inlineStr">
        <is>
          <t>S+T</t>
        </is>
      </c>
      <c r="C20">
        <f>2*'Base MO'!$G$5/VLOOKUP(A20,'Base MO'!$A$24:$F$41,3,FALSE)</f>
        <v/>
      </c>
      <c r="D20" t="n">
        <v>190</v>
      </c>
      <c r="F20">
        <f>2*VLOOKUP(A20,FO_Vannes_Souder[],4,FALSE)</f>
        <v/>
      </c>
      <c r="G20">
        <f>VLOOKUP(A20,FO_Accessoires_Acier[],2,FALSE)</f>
        <v/>
      </c>
      <c r="H20">
        <f>4*VLOOKUP(A20,FO_Accessoires_Acier[],3,FALSE)</f>
        <v/>
      </c>
      <c r="I20">
        <f>2*VLOOKUP(A20,FO_Accessoires_Acier[],4,FALSE)</f>
        <v/>
      </c>
      <c r="J20" t="n">
        <v>50</v>
      </c>
      <c r="K20" t="n">
        <v>25</v>
      </c>
      <c r="L20">
        <f>2*FO_Purgeur_Auto</f>
        <v/>
      </c>
      <c r="M20">
        <f>FO_Te_Acier</f>
        <v/>
      </c>
    </row>
    <row r="21">
      <c r="A21" t="n">
        <v>40</v>
      </c>
      <c r="B21" t="inlineStr">
        <is>
          <t>S+T</t>
        </is>
      </c>
      <c r="C21">
        <f>2*'Base MO'!$G$5/VLOOKUP(A21,'Base MO'!$A$24:$F$41,3,FALSE)</f>
        <v/>
      </c>
      <c r="D21" t="n">
        <v>190</v>
      </c>
      <c r="F21">
        <f>2*VLOOKUP(A21,FO_Vannes_Souder[],4,FALSE)</f>
        <v/>
      </c>
      <c r="G21">
        <f>VLOOKUP(A21,FO_Accessoires_Acier[],2,FALSE)</f>
        <v/>
      </c>
      <c r="H21">
        <f>4*VLOOKUP(A21,FO_Accessoires_Acier[],3,FALSE)</f>
        <v/>
      </c>
      <c r="I21">
        <f>2*VLOOKUP(A21,FO_Accessoires_Acier[],4,FALSE)</f>
        <v/>
      </c>
      <c r="J21" t="n">
        <v>50</v>
      </c>
      <c r="K21" t="n">
        <v>25</v>
      </c>
      <c r="L21">
        <f>2*FO_Purgeur_Auto</f>
        <v/>
      </c>
      <c r="M21">
        <f>FO_Te_Acier</f>
        <v/>
      </c>
    </row>
    <row r="22">
      <c r="A22" t="n">
        <v>50</v>
      </c>
      <c r="B22" t="inlineStr">
        <is>
          <t>S+T</t>
        </is>
      </c>
      <c r="C22">
        <f>2*'Base MO'!$G$5/VLOOKUP(A22,'Base MO'!$A$24:$F$41,3,FALSE)</f>
        <v/>
      </c>
      <c r="D22" t="n">
        <v>190</v>
      </c>
      <c r="F22">
        <f>2*VLOOKUP(A22,FO_Vannes_Souder[],4,FALSE)</f>
        <v/>
      </c>
      <c r="G22">
        <f>VLOOKUP(A22,FO_Accessoires_Acier[],2,FALSE)</f>
        <v/>
      </c>
      <c r="H22">
        <f>4*VLOOKUP(A22,FO_Accessoires_Acier[],3,FALSE)</f>
        <v/>
      </c>
      <c r="I22">
        <f>2*VLOOKUP(A22,FO_Accessoires_Acier[],4,FALSE)</f>
        <v/>
      </c>
      <c r="J22" t="n">
        <v>50</v>
      </c>
      <c r="K22" t="n">
        <v>25</v>
      </c>
      <c r="L22">
        <f>2*FO_Purgeur_Auto</f>
        <v/>
      </c>
      <c r="M22">
        <f>FO_Te_Acier</f>
        <v/>
      </c>
    </row>
    <row r="23">
      <c r="A23" t="n">
        <v>65</v>
      </c>
      <c r="B23" t="inlineStr">
        <is>
          <t>S+T</t>
        </is>
      </c>
      <c r="C23">
        <f>2*'Base MO'!$G$5/VLOOKUP(A23,'Base MO'!$A$24:$F$41,3,FALSE)</f>
        <v/>
      </c>
      <c r="D23" t="n">
        <v>190</v>
      </c>
      <c r="F23">
        <f>2*VLOOKUP(A23,FO_Vannes_Souder[],4,FALSE)</f>
        <v/>
      </c>
      <c r="G23">
        <f>VLOOKUP(A23,FO_Accessoires_Acier[],2,FALSE)</f>
        <v/>
      </c>
      <c r="H23">
        <f>4*VLOOKUP(A23,FO_Accessoires_Acier[],3,FALSE)</f>
        <v/>
      </c>
      <c r="I23">
        <f>2*VLOOKUP(A23,FO_Accessoires_Acier[],4,FALSE)</f>
        <v/>
      </c>
      <c r="J23" t="n">
        <v>50</v>
      </c>
      <c r="K23" t="n">
        <v>25</v>
      </c>
      <c r="L23">
        <f>2*FO_Purgeur_Auto</f>
        <v/>
      </c>
      <c r="M23">
        <f>FO_Te_Acier</f>
        <v/>
      </c>
    </row>
    <row r="24">
      <c r="A24" t="n">
        <v>80</v>
      </c>
      <c r="B24" t="inlineStr">
        <is>
          <t>S+T</t>
        </is>
      </c>
      <c r="C24">
        <f>2*'Base MO'!$G$5/VLOOKUP(A24,'Base MO'!$A$24:$F$41,3,FALSE)</f>
        <v/>
      </c>
      <c r="D24" t="n">
        <v>190</v>
      </c>
      <c r="F24">
        <f>2*VLOOKUP(A24,FO_Vannes_Souder[],4,FALSE)</f>
        <v/>
      </c>
      <c r="G24">
        <f>VLOOKUP(A24,FO_Accessoires_Acier[],2,FALSE)</f>
        <v/>
      </c>
      <c r="H24">
        <f>4*VLOOKUP(A24,FO_Accessoires_Acier[],3,FALSE)</f>
        <v/>
      </c>
      <c r="I24">
        <f>2*VLOOKUP(A24,FO_Accessoires_Acier[],4,FALSE)</f>
        <v/>
      </c>
      <c r="J24" t="n">
        <v>50</v>
      </c>
      <c r="K24" t="n">
        <v>25</v>
      </c>
      <c r="L24">
        <f>2*FO_Purgeur_Auto</f>
        <v/>
      </c>
      <c r="M24">
        <f>FO_Te_Acier</f>
        <v/>
      </c>
    </row>
    <row r="25">
      <c r="A25" t="n">
        <v>100</v>
      </c>
      <c r="B25" t="inlineStr">
        <is>
          <t>S+T</t>
        </is>
      </c>
      <c r="C25">
        <f>2*'Base MO'!$G$5/VLOOKUP(A25,'Base MO'!$A$24:$F$41,3,FALSE)</f>
        <v/>
      </c>
      <c r="D25" t="n">
        <v>190</v>
      </c>
      <c r="F25">
        <f>2*VLOOKUP(A25,FO_Vannes_Souder[],4,FALSE)</f>
        <v/>
      </c>
      <c r="G25">
        <f>VLOOKUP(A25,FO_Accessoires_Acier[],2,FALSE)</f>
        <v/>
      </c>
      <c r="H25">
        <f>4*VLOOKUP(A25,FO_Accessoires_Acier[],3,FALSE)</f>
        <v/>
      </c>
      <c r="I25">
        <f>2*VLOOKUP(A25,FO_Accessoires_Acier[],4,FALSE)</f>
        <v/>
      </c>
      <c r="J25" t="n">
        <v>50</v>
      </c>
      <c r="K25" t="n">
        <v>25</v>
      </c>
      <c r="L25">
        <f>2*FO_Purgeur_Auto</f>
        <v/>
      </c>
      <c r="M25">
        <f>FO_Te_Acier</f>
        <v/>
      </c>
    </row>
    <row r="26"/>
    <row r="27">
      <c r="A27" t="inlineStr">
        <is>
          <t>VIDANGE ASPIRATION</t>
        </is>
      </c>
    </row>
    <row r="28"/>
    <row r="29">
      <c r="A29" t="inlineStr">
        <is>
          <t>DN</t>
        </is>
      </c>
      <c r="B29" t="inlineStr">
        <is>
          <t>Équipe</t>
        </is>
      </c>
      <c r="C29" t="inlineStr">
        <is>
          <t>Nb heures</t>
        </is>
      </c>
      <c r="D29" t="inlineStr">
        <is>
          <t>Taux horaire</t>
        </is>
      </c>
      <c r="E29" t="inlineStr">
        <is>
          <t>Montant MO</t>
        </is>
      </c>
      <c r="F29" t="inlineStr">
        <is>
          <t>Vanne ×2</t>
        </is>
      </c>
      <c r="G29" t="inlineStr">
        <is>
          <t>Bobine</t>
        </is>
      </c>
      <c r="H29" t="inlineStr">
        <is>
          <t>Racc. pomp. F ×2</t>
        </is>
      </c>
      <c r="I29" t="inlineStr">
        <is>
          <t>Bouch. pomp. ×2</t>
        </is>
      </c>
      <c r="J29" t="inlineStr">
        <is>
          <t>Bande grasse</t>
        </is>
      </c>
      <c r="K29" t="inlineStr">
        <is>
          <t>Peinture</t>
        </is>
      </c>
      <c r="L29" t="inlineStr">
        <is>
          <t>Total Fourn.</t>
        </is>
      </c>
      <c r="M29" t="inlineStr">
        <is>
          <t>TOTAL</t>
        </is>
      </c>
    </row>
    <row r="30">
      <c r="A30" t="n">
        <v>20</v>
      </c>
      <c r="B30" t="inlineStr">
        <is>
          <t>S+T</t>
        </is>
      </c>
      <c r="C30">
        <f>2*'Base MO'!$G$5/VLOOKUP(A30,'Base MO'!$A$24:$F$41,3,FALSE)</f>
        <v/>
      </c>
      <c r="D30" t="n">
        <v>190</v>
      </c>
      <c r="F30">
        <f>2*VLOOKUP(A30,FO_Vannes_Souder[],4,FALSE)</f>
        <v/>
      </c>
      <c r="G30">
        <f>VLOOKUP(A30,FO_Accessoires_Acier[],2,FALSE)</f>
        <v/>
      </c>
      <c r="H30">
        <f>2*VLOOKUP(A30,FO_Accessoires_Acier[],6,FALSE)</f>
        <v/>
      </c>
      <c r="I30">
        <f>2*VLOOKUP(A30,FO_Accessoires_Acier[],7,FALSE)</f>
        <v/>
      </c>
      <c r="J30" t="n">
        <v>50</v>
      </c>
      <c r="K30" t="n">
        <v>25</v>
      </c>
    </row>
    <row r="31">
      <c r="A31" t="n">
        <v>25</v>
      </c>
      <c r="B31" t="inlineStr">
        <is>
          <t>S+T</t>
        </is>
      </c>
      <c r="C31">
        <f>2*'Base MO'!$G$5/VLOOKUP(A31,'Base MO'!$A$24:$F$41,3,FALSE)</f>
        <v/>
      </c>
      <c r="D31" t="n">
        <v>190</v>
      </c>
      <c r="F31">
        <f>2*VLOOKUP(A31,FO_Vannes_Souder[],4,FALSE)</f>
        <v/>
      </c>
      <c r="G31">
        <f>VLOOKUP(A31,FO_Accessoires_Acier[],2,FALSE)</f>
        <v/>
      </c>
      <c r="H31">
        <f>2*VLOOKUP(A31,FO_Accessoires_Acier[],6,FALSE)</f>
        <v/>
      </c>
      <c r="I31">
        <f>2*VLOOKUP(A31,FO_Accessoires_Acier[],7,FALSE)</f>
        <v/>
      </c>
      <c r="J31" t="n">
        <v>50</v>
      </c>
      <c r="K31" t="n">
        <v>25</v>
      </c>
    </row>
    <row r="32">
      <c r="A32" t="n">
        <v>32</v>
      </c>
      <c r="B32" t="inlineStr">
        <is>
          <t>S+T</t>
        </is>
      </c>
      <c r="C32">
        <f>2*'Base MO'!$G$5/VLOOKUP(A32,'Base MO'!$A$24:$F$41,3,FALSE)</f>
        <v/>
      </c>
      <c r="D32" t="n">
        <v>190</v>
      </c>
      <c r="F32">
        <f>2*VLOOKUP(A32,FO_Vannes_Souder[],4,FALSE)</f>
        <v/>
      </c>
      <c r="G32">
        <f>VLOOKUP(A32,FO_Accessoires_Acier[],2,FALSE)</f>
        <v/>
      </c>
      <c r="H32">
        <f>2*VLOOKUP(A32,FO_Accessoires_Acier[],6,FALSE)</f>
        <v/>
      </c>
      <c r="I32">
        <f>2*VLOOKUP(A32,FO_Accessoires_Acier[],7,FALSE)</f>
        <v/>
      </c>
      <c r="J32" t="n">
        <v>50</v>
      </c>
      <c r="K32" t="n">
        <v>25</v>
      </c>
    </row>
    <row r="33">
      <c r="A33" t="n">
        <v>40</v>
      </c>
      <c r="B33" t="inlineStr">
        <is>
          <t>S+T</t>
        </is>
      </c>
      <c r="C33">
        <f>2*'Base MO'!$G$5/VLOOKUP(A33,'Base MO'!$A$24:$F$41,3,FALSE)</f>
        <v/>
      </c>
      <c r="D33" t="n">
        <v>190</v>
      </c>
      <c r="F33">
        <f>2*VLOOKUP(A33,FO_Vannes_Souder[],4,FALSE)</f>
        <v/>
      </c>
      <c r="G33">
        <f>VLOOKUP(A33,FO_Accessoires_Acier[],2,FALSE)</f>
        <v/>
      </c>
      <c r="H33">
        <f>2*VLOOKUP(A33,FO_Accessoires_Acier[],6,FALSE)</f>
        <v/>
      </c>
      <c r="I33">
        <f>2*VLOOKUP(A33,FO_Accessoires_Acier[],7,FALSE)</f>
        <v/>
      </c>
      <c r="J33" t="n">
        <v>50</v>
      </c>
      <c r="K33" t="n">
        <v>25</v>
      </c>
    </row>
    <row r="34">
      <c r="A34" t="n">
        <v>50</v>
      </c>
      <c r="B34" t="inlineStr">
        <is>
          <t>S+T</t>
        </is>
      </c>
      <c r="C34">
        <f>2*'Base MO'!$G$5/VLOOKUP(A34,'Base MO'!$A$24:$F$41,3,FALSE)</f>
        <v/>
      </c>
      <c r="D34" t="n">
        <v>190</v>
      </c>
      <c r="F34">
        <f>2*VLOOKUP(A34,FO_Vannes_Souder[],4,FALSE)</f>
        <v/>
      </c>
      <c r="G34">
        <f>VLOOKUP(A34,FO_Accessoires_Acier[],2,FALSE)</f>
        <v/>
      </c>
      <c r="H34">
        <f>2*VLOOKUP(A34,FO_Accessoires_Acier[],6,FALSE)</f>
        <v/>
      </c>
      <c r="I34">
        <f>2*VLOOKUP(A34,FO_Accessoires_Acier[],7,FALSE)</f>
        <v/>
      </c>
      <c r="J34" t="n">
        <v>50</v>
      </c>
      <c r="K34" t="n">
        <v>25</v>
      </c>
    </row>
    <row r="35">
      <c r="A35" t="n">
        <v>65</v>
      </c>
      <c r="B35" t="inlineStr">
        <is>
          <t>S+T</t>
        </is>
      </c>
      <c r="C35">
        <f>2*'Base MO'!$G$5/VLOOKUP(A35,'Base MO'!$A$24:$F$41,3,FALSE)</f>
        <v/>
      </c>
      <c r="D35" t="n">
        <v>190</v>
      </c>
      <c r="F35">
        <f>2*VLOOKUP(A35,FO_Vannes_Souder[],4,FALSE)</f>
        <v/>
      </c>
      <c r="G35">
        <f>VLOOKUP(A35,FO_Accessoires_Acier[],2,FALSE)</f>
        <v/>
      </c>
      <c r="H35">
        <f>2*VLOOKUP(A35,FO_Accessoires_Acier[],6,FALSE)</f>
        <v/>
      </c>
      <c r="I35">
        <f>2*VLOOKUP(A35,FO_Accessoires_Acier[],7,FALSE)</f>
        <v/>
      </c>
      <c r="J35" t="n">
        <v>50</v>
      </c>
      <c r="K35" t="n">
        <v>25</v>
      </c>
    </row>
    <row r="36">
      <c r="A36" t="n">
        <v>80</v>
      </c>
      <c r="B36" t="inlineStr">
        <is>
          <t>S+T</t>
        </is>
      </c>
      <c r="C36">
        <f>2*'Base MO'!$G$5/VLOOKUP(A36,'Base MO'!$A$24:$F$41,3,FALSE)</f>
        <v/>
      </c>
      <c r="D36" t="n">
        <v>190</v>
      </c>
      <c r="F36">
        <f>2*VLOOKUP(A36,FO_Vannes_Souder[],4,FALSE)</f>
        <v/>
      </c>
      <c r="G36">
        <f>VLOOKUP(A36,FO_Accessoires_Acier[],2,FALSE)</f>
        <v/>
      </c>
      <c r="H36">
        <f>2*VLOOKUP(A36,FO_Accessoires_Acier[],6,FALSE)</f>
        <v/>
      </c>
      <c r="I36">
        <f>2*VLOOKUP(A36,FO_Accessoires_Acier[],7,FALSE)</f>
        <v/>
      </c>
      <c r="J36" t="n">
        <v>50</v>
      </c>
      <c r="K36" t="n">
        <v>25</v>
      </c>
    </row>
    <row r="37">
      <c r="A37" t="n">
        <v>100</v>
      </c>
      <c r="B37" t="inlineStr">
        <is>
          <t>S+T</t>
        </is>
      </c>
      <c r="C37">
        <f>2*'Base MO'!$G$5/VLOOKUP(A37,'Base MO'!$A$24:$F$41,3,FALSE)</f>
        <v/>
      </c>
      <c r="D37" t="n">
        <v>190</v>
      </c>
      <c r="F37">
        <f>2*VLOOKUP(A37,FO_Vannes_Souder[],4,FALSE)</f>
        <v/>
      </c>
      <c r="G37">
        <f>VLOOKUP(A37,FO_Accessoires_Acier[],2,FALSE)</f>
        <v/>
      </c>
      <c r="H37">
        <f>2*VLOOKUP(A37,FO_Accessoires_Acier[],6,FALSE)</f>
        <v/>
      </c>
      <c r="I37">
        <f>2*VLOOKUP(A37,FO_Accessoires_Acier[],7,FALSE)</f>
        <v/>
      </c>
      <c r="J37" t="n">
        <v>50</v>
      </c>
      <c r="K37" t="n">
        <v>25</v>
      </c>
    </row>
    <row r="38"/>
    <row r="39">
      <c r="A39" t="inlineStr">
        <is>
          <t>VIDANGE GRAVITÉ</t>
        </is>
      </c>
    </row>
    <row r="40"/>
    <row r="41">
      <c r="A41" t="inlineStr">
        <is>
          <t>DN</t>
        </is>
      </c>
      <c r="B41" t="inlineStr">
        <is>
          <t>Équipe</t>
        </is>
      </c>
      <c r="C41" t="inlineStr">
        <is>
          <t>Nb heures</t>
        </is>
      </c>
      <c r="D41" t="inlineStr">
        <is>
          <t>Taux horaire</t>
        </is>
      </c>
      <c r="E41" t="inlineStr">
        <is>
          <t>Montant MO</t>
        </is>
      </c>
      <c r="F41" t="inlineStr">
        <is>
          <t>Coude souder ×2</t>
        </is>
      </c>
      <c r="G41" t="inlineStr">
        <is>
          <t>Bande grasse</t>
        </is>
      </c>
      <c r="H41" t="inlineStr">
        <is>
          <t>Peinture</t>
        </is>
      </c>
      <c r="I41" t="inlineStr">
        <is>
          <t>Rallonge</t>
        </is>
      </c>
      <c r="J41" t="inlineStr">
        <is>
          <t>Total Fourn.</t>
        </is>
      </c>
      <c r="K41" t="inlineStr">
        <is>
          <t>TOTAL</t>
        </is>
      </c>
      <c r="L41" t="inlineStr">
        <is>
          <t>Vanne ×2</t>
        </is>
      </c>
    </row>
    <row r="42">
      <c r="A42" t="n">
        <v>20</v>
      </c>
      <c r="B42" t="inlineStr">
        <is>
          <t>S+T</t>
        </is>
      </c>
      <c r="C42">
        <f>2*'Base MO'!$G$5/VLOOKUP(A42,'Base MO'!$A$24:$F$41,3,FALSE)</f>
        <v/>
      </c>
      <c r="D42" t="n">
        <v>190</v>
      </c>
      <c r="F42">
        <f>2*VLOOKUP(A42,FO_Accessoires_Acier[],9,FALSE)</f>
        <v/>
      </c>
      <c r="G42" t="n">
        <v>50</v>
      </c>
      <c r="H42" t="n">
        <v>25</v>
      </c>
      <c r="I42">
        <f>FO_Rallonge_Vanne_Preisolee</f>
        <v/>
      </c>
      <c r="L42">
        <f>2*VLOOKUP(A42,FO_Vannes_Souder[],4,FALSE)</f>
        <v/>
      </c>
    </row>
    <row r="43">
      <c r="A43" t="n">
        <v>25</v>
      </c>
      <c r="B43" t="inlineStr">
        <is>
          <t>S+T</t>
        </is>
      </c>
      <c r="C43">
        <f>2*'Base MO'!$G$5/VLOOKUP(A43,'Base MO'!$A$24:$F$41,3,FALSE)</f>
        <v/>
      </c>
      <c r="D43" t="n">
        <v>190</v>
      </c>
      <c r="F43">
        <f>2*VLOOKUP(A43,FO_Accessoires_Acier[],9,FALSE)</f>
        <v/>
      </c>
      <c r="G43" t="n">
        <v>50</v>
      </c>
      <c r="H43" t="n">
        <v>25</v>
      </c>
      <c r="I43">
        <f>FO_Rallonge_Vanne_Preisolee</f>
        <v/>
      </c>
      <c r="L43">
        <f>2*VLOOKUP(A43,FO_Vannes_Souder[],4,FALSE)</f>
        <v/>
      </c>
    </row>
    <row r="44">
      <c r="A44" t="n">
        <v>32</v>
      </c>
      <c r="B44" t="inlineStr">
        <is>
          <t>S+T</t>
        </is>
      </c>
      <c r="C44">
        <f>2*'Base MO'!$G$5/VLOOKUP(A44,'Base MO'!$A$24:$F$41,3,FALSE)</f>
        <v/>
      </c>
      <c r="D44" t="n">
        <v>190</v>
      </c>
      <c r="F44">
        <f>2*VLOOKUP(A44,FO_Accessoires_Acier[],9,FALSE)</f>
        <v/>
      </c>
      <c r="G44" t="n">
        <v>50</v>
      </c>
      <c r="H44" t="n">
        <v>25</v>
      </c>
      <c r="I44">
        <f>FO_Rallonge_Vanne_Preisolee</f>
        <v/>
      </c>
      <c r="L44">
        <f>2*VLOOKUP(A44,FO_Vannes_Souder[],4,FALSE)</f>
        <v/>
      </c>
    </row>
    <row r="45">
      <c r="A45" t="n">
        <v>40</v>
      </c>
      <c r="B45" t="inlineStr">
        <is>
          <t>S+T</t>
        </is>
      </c>
      <c r="C45">
        <f>2*'Base MO'!$G$5/VLOOKUP(A45,'Base MO'!$A$24:$F$41,3,FALSE)</f>
        <v/>
      </c>
      <c r="D45" t="n">
        <v>190</v>
      </c>
      <c r="F45">
        <f>2*VLOOKUP(A45,FO_Accessoires_Acier[],9,FALSE)</f>
        <v/>
      </c>
      <c r="G45" t="n">
        <v>50</v>
      </c>
      <c r="H45" t="n">
        <v>25</v>
      </c>
      <c r="I45">
        <f>FO_Rallonge_Vanne_Preisolee</f>
        <v/>
      </c>
      <c r="L45">
        <f>2*VLOOKUP(A45,FO_Vannes_Souder[],4,FALSE)</f>
        <v/>
      </c>
    </row>
    <row r="46">
      <c r="A46" t="n">
        <v>50</v>
      </c>
      <c r="B46" t="inlineStr">
        <is>
          <t>S+T</t>
        </is>
      </c>
      <c r="C46">
        <f>2*'Base MO'!$G$5/VLOOKUP(A46,'Base MO'!$A$24:$F$41,3,FALSE)</f>
        <v/>
      </c>
      <c r="D46" t="n">
        <v>190</v>
      </c>
      <c r="F46">
        <f>2*VLOOKUP(A46,FO_Accessoires_Acier[],9,FALSE)</f>
        <v/>
      </c>
      <c r="G46" t="n">
        <v>50</v>
      </c>
      <c r="H46" t="n">
        <v>25</v>
      </c>
      <c r="I46">
        <f>FO_Rallonge_Vanne_Preisolee</f>
        <v/>
      </c>
      <c r="L46">
        <f>2*VLOOKUP(A46,FO_Vannes_Souder[],4,FALSE)</f>
        <v/>
      </c>
    </row>
    <row r="47">
      <c r="A47" t="n">
        <v>65</v>
      </c>
      <c r="B47" t="inlineStr">
        <is>
          <t>S+T</t>
        </is>
      </c>
      <c r="C47">
        <f>2*'Base MO'!$G$5/VLOOKUP(A47,'Base MO'!$A$24:$F$41,3,FALSE)</f>
        <v/>
      </c>
      <c r="D47" t="n">
        <v>190</v>
      </c>
      <c r="F47">
        <f>2*VLOOKUP(A47,FO_Accessoires_Acier[],9,FALSE)</f>
        <v/>
      </c>
      <c r="G47" t="n">
        <v>50</v>
      </c>
      <c r="H47" t="n">
        <v>25</v>
      </c>
      <c r="I47">
        <f>FO_Rallonge_Vanne_Preisolee</f>
        <v/>
      </c>
      <c r="L47">
        <f>2*VLOOKUP(A47,FO_Vannes_Souder[],4,FALSE)</f>
        <v/>
      </c>
    </row>
    <row r="48">
      <c r="A48" t="n">
        <v>80</v>
      </c>
      <c r="B48" t="inlineStr">
        <is>
          <t>S+T</t>
        </is>
      </c>
      <c r="C48">
        <f>2*'Base MO'!$G$5/VLOOKUP(A48,'Base MO'!$A$24:$F$41,3,FALSE)</f>
        <v/>
      </c>
      <c r="D48" t="n">
        <v>190</v>
      </c>
      <c r="F48">
        <f>2*VLOOKUP(A48,FO_Accessoires_Acier[],9,FALSE)</f>
        <v/>
      </c>
      <c r="G48" t="n">
        <v>50</v>
      </c>
      <c r="H48" t="n">
        <v>25</v>
      </c>
      <c r="I48">
        <f>FO_Rallonge_Vanne_Preisolee</f>
        <v/>
      </c>
      <c r="L48">
        <f>2*VLOOKUP(A48,FO_Vannes_Souder[],4,FALSE)</f>
        <v/>
      </c>
    </row>
    <row r="49">
      <c r="A49" t="n">
        <v>100</v>
      </c>
      <c r="B49" t="inlineStr">
        <is>
          <t>S+T</t>
        </is>
      </c>
      <c r="C49">
        <f>2*'Base MO'!$G$5/VLOOKUP(A49,'Base MO'!$A$24:$F$41,3,FALSE)</f>
        <v/>
      </c>
      <c r="D49" t="n">
        <v>190</v>
      </c>
      <c r="F49">
        <f>2*VLOOKUP(A49,FO_Accessoires_Acier[],9,FALSE)</f>
        <v/>
      </c>
      <c r="G49" t="n">
        <v>50</v>
      </c>
      <c r="H49" t="n">
        <v>25</v>
      </c>
      <c r="I49">
        <f>FO_Rallonge_Vanne_Preisolee</f>
        <v/>
      </c>
      <c r="L49">
        <f>2*VLOOKUP(A49,FO_Vannes_Souder[],4,FALSE)</f>
        <v/>
      </c>
    </row>
    <row r="50"/>
    <row r="51">
      <c r="A51" t="inlineStr">
        <is>
          <t>BY-PASS - FONDS BOMBÉS</t>
        </is>
      </c>
    </row>
    <row r="52"/>
    <row r="53">
      <c r="C53" t="inlineStr">
        <is>
          <t>Heures</t>
        </is>
      </c>
      <c r="F53" t="inlineStr">
        <is>
          <t>MO</t>
        </is>
      </c>
      <c r="H53" t="inlineStr">
        <is>
          <t>Fournitures</t>
        </is>
      </c>
      <c r="L53" t="inlineStr">
        <is>
          <t>Total fourn.</t>
        </is>
      </c>
      <c r="N53" t="inlineStr">
        <is>
          <t>TOTAL</t>
        </is>
      </c>
    </row>
    <row r="54">
      <c r="A54" t="inlineStr">
        <is>
          <t>DN</t>
        </is>
      </c>
      <c r="B54" t="inlineStr">
        <is>
          <t>Équipe</t>
        </is>
      </c>
      <c r="C54" t="inlineStr">
        <is>
          <t>BY-PASS</t>
        </is>
      </c>
      <c r="D54" t="inlineStr">
        <is>
          <t>FONDS BOMBÉS</t>
        </is>
      </c>
      <c r="E54" t="inlineStr">
        <is>
          <t>Taux horaire</t>
        </is>
      </c>
      <c r="F54" t="inlineStr">
        <is>
          <t>BY-PASS</t>
        </is>
      </c>
      <c r="G54" t="inlineStr">
        <is>
          <t>FONDS BOMBÉS</t>
        </is>
      </c>
      <c r="H54" t="inlineStr">
        <is>
          <t>Coude ×2</t>
        </is>
      </c>
      <c r="I54" t="inlineStr">
        <is>
          <t>Vanne DN20 ×1</t>
        </is>
      </c>
      <c r="J54" t="inlineStr">
        <is>
          <t>Fonds bomb. ×2</t>
        </is>
      </c>
      <c r="K54" t="inlineStr">
        <is>
          <t>Peinture</t>
        </is>
      </c>
      <c r="L54" t="inlineStr">
        <is>
          <t>BY-PASS</t>
        </is>
      </c>
      <c r="M54" t="inlineStr">
        <is>
          <t>FONDS BOMBÉS</t>
        </is>
      </c>
      <c r="N54" t="inlineStr">
        <is>
          <t>BY-PASS</t>
        </is>
      </c>
      <c r="O54" t="inlineStr">
        <is>
          <t>FONDS BOMBÉS</t>
        </is>
      </c>
    </row>
    <row r="55">
      <c r="A55" t="n">
        <v>20</v>
      </c>
      <c r="B55" t="inlineStr">
        <is>
          <t>S+T</t>
        </is>
      </c>
      <c r="C55" t="n">
        <v>4</v>
      </c>
      <c r="D55" t="n">
        <v>2</v>
      </c>
      <c r="E55" t="n">
        <v>190</v>
      </c>
      <c r="F55" t="n">
        <v>760</v>
      </c>
      <c r="G55" t="n">
        <v>380</v>
      </c>
      <c r="H55" t="n">
        <v>10</v>
      </c>
      <c r="I55" t="n">
        <v>30</v>
      </c>
      <c r="J55" t="n">
        <v>20</v>
      </c>
      <c r="K55" t="n">
        <v>20</v>
      </c>
      <c r="L55" t="n">
        <v>60</v>
      </c>
      <c r="M55" t="n">
        <v>70</v>
      </c>
      <c r="N55" t="n">
        <v>820</v>
      </c>
      <c r="O55" t="n">
        <v>450</v>
      </c>
    </row>
    <row r="56">
      <c r="A56" t="n">
        <v>25</v>
      </c>
      <c r="B56" t="inlineStr">
        <is>
          <t>S+T</t>
        </is>
      </c>
      <c r="C56" t="n">
        <v>4</v>
      </c>
      <c r="D56" t="n">
        <v>2</v>
      </c>
      <c r="E56" t="n">
        <v>190</v>
      </c>
      <c r="F56" t="n">
        <v>760</v>
      </c>
      <c r="G56" t="n">
        <v>380</v>
      </c>
      <c r="H56" t="n">
        <v>10</v>
      </c>
      <c r="I56" t="n">
        <v>30</v>
      </c>
      <c r="J56" t="n">
        <v>20</v>
      </c>
      <c r="K56" t="n">
        <v>20</v>
      </c>
      <c r="L56" t="n">
        <v>60</v>
      </c>
      <c r="M56" t="n">
        <v>70</v>
      </c>
      <c r="N56" t="n">
        <v>820</v>
      </c>
      <c r="O56" t="n">
        <v>450</v>
      </c>
    </row>
    <row r="57">
      <c r="A57" t="n">
        <v>32</v>
      </c>
      <c r="B57" t="inlineStr">
        <is>
          <t>S+T</t>
        </is>
      </c>
      <c r="C57" t="n">
        <v>4</v>
      </c>
      <c r="D57" t="n">
        <v>2</v>
      </c>
      <c r="E57" t="n">
        <v>190</v>
      </c>
      <c r="F57" t="n">
        <v>760</v>
      </c>
      <c r="G57" t="n">
        <v>380</v>
      </c>
      <c r="H57" t="n">
        <v>10</v>
      </c>
      <c r="I57" t="n">
        <v>30</v>
      </c>
      <c r="J57" t="n">
        <v>20</v>
      </c>
      <c r="K57" t="n">
        <v>20</v>
      </c>
      <c r="L57" t="n">
        <v>60</v>
      </c>
      <c r="M57" t="n">
        <v>70</v>
      </c>
      <c r="N57" t="n">
        <v>820</v>
      </c>
      <c r="O57" t="n">
        <v>450</v>
      </c>
    </row>
    <row r="58">
      <c r="A58" t="n">
        <v>40</v>
      </c>
      <c r="B58" t="inlineStr">
        <is>
          <t>S+T</t>
        </is>
      </c>
      <c r="C58" t="n">
        <v>4</v>
      </c>
      <c r="D58" t="n">
        <v>2</v>
      </c>
      <c r="E58" t="n">
        <v>190</v>
      </c>
      <c r="F58" t="n">
        <v>760</v>
      </c>
      <c r="G58" t="n">
        <v>380</v>
      </c>
      <c r="H58" t="n">
        <v>10</v>
      </c>
      <c r="I58" t="n">
        <v>30</v>
      </c>
      <c r="J58" t="n">
        <v>20</v>
      </c>
      <c r="K58" t="n">
        <v>20</v>
      </c>
      <c r="L58" t="n">
        <v>60</v>
      </c>
      <c r="M58" t="n">
        <v>70</v>
      </c>
      <c r="N58" t="n">
        <v>820</v>
      </c>
      <c r="O58" t="n">
        <v>450</v>
      </c>
    </row>
    <row r="59">
      <c r="A59" t="n">
        <v>50</v>
      </c>
      <c r="B59" t="inlineStr">
        <is>
          <t>S+T</t>
        </is>
      </c>
      <c r="C59" t="n">
        <v>4</v>
      </c>
      <c r="D59" t="n">
        <v>2</v>
      </c>
      <c r="E59" t="n">
        <v>190</v>
      </c>
      <c r="F59" t="n">
        <v>760</v>
      </c>
      <c r="G59" t="n">
        <v>380</v>
      </c>
      <c r="H59" t="n">
        <v>10</v>
      </c>
      <c r="I59" t="n">
        <v>30</v>
      </c>
      <c r="J59" t="n">
        <v>20</v>
      </c>
      <c r="K59" t="n">
        <v>20</v>
      </c>
      <c r="L59" t="n">
        <v>60</v>
      </c>
      <c r="M59" t="n">
        <v>70</v>
      </c>
      <c r="N59" t="n">
        <v>820</v>
      </c>
      <c r="O59" t="n">
        <v>450</v>
      </c>
    </row>
    <row r="60">
      <c r="A60" t="n">
        <v>65</v>
      </c>
      <c r="B60" t="inlineStr">
        <is>
          <t>S+T</t>
        </is>
      </c>
      <c r="C60" t="n">
        <v>4</v>
      </c>
      <c r="D60" t="n">
        <v>2</v>
      </c>
      <c r="E60" t="n">
        <v>190</v>
      </c>
      <c r="F60" t="n">
        <v>760</v>
      </c>
      <c r="G60" t="n">
        <v>380</v>
      </c>
      <c r="H60" t="n">
        <v>10</v>
      </c>
      <c r="I60" t="n">
        <v>30</v>
      </c>
      <c r="J60" t="n">
        <v>20</v>
      </c>
      <c r="K60" t="n">
        <v>20</v>
      </c>
      <c r="L60" t="n">
        <v>60</v>
      </c>
      <c r="M60" t="n">
        <v>70</v>
      </c>
      <c r="N60" t="n">
        <v>820</v>
      </c>
      <c r="O60" t="n">
        <v>450</v>
      </c>
    </row>
    <row r="61">
      <c r="A61" t="n">
        <v>80</v>
      </c>
      <c r="B61" t="inlineStr">
        <is>
          <t>S+T</t>
        </is>
      </c>
      <c r="C61" t="n">
        <v>4</v>
      </c>
      <c r="D61" t="n">
        <v>2</v>
      </c>
      <c r="E61" t="n">
        <v>190</v>
      </c>
      <c r="F61" t="n">
        <v>760</v>
      </c>
      <c r="G61" t="n">
        <v>380</v>
      </c>
      <c r="H61" t="n">
        <v>10</v>
      </c>
      <c r="I61" t="n">
        <v>30</v>
      </c>
      <c r="J61" t="n">
        <v>20</v>
      </c>
      <c r="K61" t="n">
        <v>20</v>
      </c>
      <c r="L61" t="n">
        <v>60</v>
      </c>
      <c r="M61" t="n">
        <v>70</v>
      </c>
      <c r="N61" t="n">
        <v>820</v>
      </c>
      <c r="O61" t="n">
        <v>450</v>
      </c>
    </row>
    <row r="62">
      <c r="A62" t="n">
        <v>100</v>
      </c>
      <c r="B62" t="inlineStr">
        <is>
          <t>S+T</t>
        </is>
      </c>
      <c r="C62" t="n">
        <v>4</v>
      </c>
      <c r="D62" t="n">
        <v>2</v>
      </c>
      <c r="E62" t="n">
        <v>190</v>
      </c>
      <c r="F62" t="n">
        <v>760</v>
      </c>
      <c r="G62" t="n">
        <v>380</v>
      </c>
      <c r="H62" t="n">
        <v>10</v>
      </c>
      <c r="I62" t="n">
        <v>30</v>
      </c>
      <c r="J62" t="n">
        <v>20</v>
      </c>
      <c r="K62" t="n">
        <v>20</v>
      </c>
      <c r="L62" t="n">
        <v>60</v>
      </c>
      <c r="M62" t="n">
        <v>70</v>
      </c>
      <c r="N62" t="n">
        <v>820</v>
      </c>
      <c r="O62" t="n">
        <v>450</v>
      </c>
    </row>
    <row r="63"/>
    <row r="64">
      <c r="A64" t="inlineStr">
        <is>
          <t>Boîtiers Plexo + pose (ajouté à chaque vanne SST)</t>
        </is>
      </c>
      <c r="B64" t="n">
        <v>60</v>
      </c>
    </row>
    <row r="65"/>
    <row r="66">
      <c r="A66" t="inlineStr">
        <is>
          <t>SST — VANNES BS PN25</t>
        </is>
      </c>
    </row>
    <row r="67"/>
    <row r="68">
      <c r="A68" t="inlineStr">
        <is>
          <t>DN</t>
        </is>
      </c>
      <c r="B68" t="inlineStr">
        <is>
          <t>Équipe</t>
        </is>
      </c>
      <c r="C68" t="inlineStr">
        <is>
          <t>Nb heures</t>
        </is>
      </c>
      <c r="D68" t="inlineStr">
        <is>
          <t>Taux horaire</t>
        </is>
      </c>
      <c r="E68" t="inlineStr">
        <is>
          <t>Montant MO</t>
        </is>
      </c>
      <c r="F68" t="inlineStr">
        <is>
          <t>Vanne BS ×2</t>
        </is>
      </c>
      <c r="G68" t="inlineStr">
        <is>
          <t>Peinture</t>
        </is>
      </c>
      <c r="H68" t="inlineStr">
        <is>
          <t>Total Fourn.</t>
        </is>
      </c>
      <c r="I68" t="inlineStr">
        <is>
          <t>TOTAL</t>
        </is>
      </c>
    </row>
    <row r="69">
      <c r="A69" t="n">
        <v>20</v>
      </c>
      <c r="B69" t="inlineStr">
        <is>
          <t>S+T</t>
        </is>
      </c>
      <c r="C69">
        <f>2*'Base MO'!$G$5/VLOOKUP(A69,'Base MO'!$A$24:$F$41,3,FALSE)</f>
        <v/>
      </c>
      <c r="D69" t="n">
        <v>190</v>
      </c>
      <c r="F69">
        <f>2*VLOOKUP(A69,FO_Vannes_Souder[],2,FALSE)</f>
        <v/>
      </c>
      <c r="G69">
        <f>IF($A69&gt;=FO_Peinture_SST_Seuil_DN,FO_Peinture_SST_Gros_DN,FO_Peinture_SST_Petit_DN)</f>
        <v/>
      </c>
    </row>
    <row r="70">
      <c r="A70" t="n">
        <v>25</v>
      </c>
      <c r="B70" t="inlineStr">
        <is>
          <t>S+T</t>
        </is>
      </c>
      <c r="C70">
        <f>2*'Base MO'!$G$5/VLOOKUP(A70,'Base MO'!$A$24:$F$41,3,FALSE)</f>
        <v/>
      </c>
      <c r="D70" t="n">
        <v>190</v>
      </c>
      <c r="F70">
        <f>2*VLOOKUP(A70,FO_Vannes_Souder[],2,FALSE)</f>
        <v/>
      </c>
      <c r="G70">
        <f>IF($A70&gt;=FO_Peinture_SST_Seuil_DN,FO_Peinture_SST_Gros_DN,FO_Peinture_SST_Petit_DN)</f>
        <v/>
      </c>
    </row>
    <row r="71">
      <c r="A71" t="n">
        <v>32</v>
      </c>
      <c r="B71" t="inlineStr">
        <is>
          <t>S+T</t>
        </is>
      </c>
      <c r="C71">
        <f>2*'Base MO'!$G$5/VLOOKUP(A71,'Base MO'!$A$24:$F$41,3,FALSE)</f>
        <v/>
      </c>
      <c r="D71" t="n">
        <v>190</v>
      </c>
      <c r="F71">
        <f>2*VLOOKUP(A71,FO_Vannes_Souder[],2,FALSE)</f>
        <v/>
      </c>
      <c r="G71">
        <f>IF($A71&gt;=FO_Peinture_SST_Seuil_DN,FO_Peinture_SST_Gros_DN,FO_Peinture_SST_Petit_DN)</f>
        <v/>
      </c>
    </row>
    <row r="72">
      <c r="A72" t="n">
        <v>40</v>
      </c>
      <c r="B72" t="inlineStr">
        <is>
          <t>S+T</t>
        </is>
      </c>
      <c r="C72">
        <f>2*'Base MO'!$G$5/VLOOKUP(A72,'Base MO'!$A$24:$F$41,3,FALSE)</f>
        <v/>
      </c>
      <c r="D72" t="n">
        <v>190</v>
      </c>
      <c r="F72">
        <f>2*VLOOKUP(A72,FO_Vannes_Souder[],2,FALSE)</f>
        <v/>
      </c>
      <c r="G72">
        <f>IF($A72&gt;=FO_Peinture_SST_Seuil_DN,FO_Peinture_SST_Gros_DN,FO_Peinture_SST_Petit_DN)</f>
        <v/>
      </c>
    </row>
    <row r="73">
      <c r="A73" t="n">
        <v>50</v>
      </c>
      <c r="B73" t="inlineStr">
        <is>
          <t>S+T</t>
        </is>
      </c>
      <c r="C73">
        <f>2*'Base MO'!$G$5/VLOOKUP(A73,'Base MO'!$A$24:$F$41,3,FALSE)</f>
        <v/>
      </c>
      <c r="D73" t="n">
        <v>190</v>
      </c>
      <c r="F73">
        <f>2*VLOOKUP(A73,FO_Vannes_Souder[],2,FALSE)</f>
        <v/>
      </c>
      <c r="G73">
        <f>IF($A73&gt;=FO_Peinture_SST_Seuil_DN,FO_Peinture_SST_Gros_DN,FO_Peinture_SST_Petit_DN)</f>
        <v/>
      </c>
    </row>
    <row r="74">
      <c r="A74" t="n">
        <v>65</v>
      </c>
      <c r="B74" t="inlineStr">
        <is>
          <t>S+T</t>
        </is>
      </c>
      <c r="C74">
        <f>2*'Base MO'!$G$5/VLOOKUP(A74,'Base MO'!$A$24:$F$41,3,FALSE)</f>
        <v/>
      </c>
      <c r="D74" t="n">
        <v>190</v>
      </c>
      <c r="F74">
        <f>2*VLOOKUP(A74,FO_Vannes_Souder[],2,FALSE)</f>
        <v/>
      </c>
      <c r="G74">
        <f>IF($A74&gt;=FO_Peinture_SST_Seuil_DN,FO_Peinture_SST_Gros_DN,FO_Peinture_SST_Petit_DN)</f>
        <v/>
      </c>
    </row>
    <row r="75">
      <c r="A75" t="n">
        <v>80</v>
      </c>
      <c r="B75" t="inlineStr">
        <is>
          <t>S+T</t>
        </is>
      </c>
      <c r="C75">
        <f>2*'Base MO'!$G$5/VLOOKUP(A75,'Base MO'!$A$24:$F$41,3,FALSE)</f>
        <v/>
      </c>
      <c r="D75" t="n">
        <v>190</v>
      </c>
      <c r="F75">
        <f>2*VLOOKUP(A75,FO_Vannes_Souder[],2,FALSE)</f>
        <v/>
      </c>
      <c r="G75">
        <f>IF($A75&gt;=FO_Peinture_SST_Seuil_DN,FO_Peinture_SST_Gros_DN,FO_Peinture_SST_Petit_DN)</f>
        <v/>
      </c>
    </row>
    <row r="76">
      <c r="A76" t="n">
        <v>100</v>
      </c>
      <c r="B76" t="inlineStr">
        <is>
          <t>S+T</t>
        </is>
      </c>
      <c r="C76">
        <f>2*'Base MO'!$G$5/VLOOKUP(A76,'Base MO'!$A$24:$F$41,3,FALSE)</f>
        <v/>
      </c>
      <c r="D76" t="n">
        <v>190</v>
      </c>
      <c r="F76">
        <f>2*VLOOKUP(A76,FO_Vannes_Souder[],2,FALSE)</f>
        <v/>
      </c>
      <c r="G76">
        <f>IF($A76&gt;=FO_Peinture_SST_Seuil_DN,FO_Peinture_SST_Gros_DN,FO_Peinture_SST_Petit_DN)</f>
        <v/>
      </c>
    </row>
    <row r="77"/>
    <row r="78">
      <c r="A78" t="inlineStr">
        <is>
          <t>SST — VANNES BS PN40</t>
        </is>
      </c>
    </row>
    <row r="79"/>
    <row r="80">
      <c r="A80" t="inlineStr">
        <is>
          <t>DN</t>
        </is>
      </c>
      <c r="B80" t="inlineStr">
        <is>
          <t>Équipe</t>
        </is>
      </c>
      <c r="C80" t="inlineStr">
        <is>
          <t>Nb heures</t>
        </is>
      </c>
      <c r="D80" t="inlineStr">
        <is>
          <t>Taux horaire</t>
        </is>
      </c>
      <c r="E80" t="inlineStr">
        <is>
          <t>Montant MO</t>
        </is>
      </c>
      <c r="F80" t="inlineStr">
        <is>
          <t>Vanne BS ×2</t>
        </is>
      </c>
      <c r="G80" t="inlineStr">
        <is>
          <t>Peinture</t>
        </is>
      </c>
      <c r="H80" t="inlineStr">
        <is>
          <t>Total Fourn.</t>
        </is>
      </c>
      <c r="I80" t="inlineStr">
        <is>
          <t>TOTAL</t>
        </is>
      </c>
    </row>
    <row r="81">
      <c r="A81" t="n">
        <v>20</v>
      </c>
      <c r="B81" t="inlineStr">
        <is>
          <t>S+T</t>
        </is>
      </c>
      <c r="C81">
        <f>2*'Base MO'!$G$5/VLOOKUP(A81,'Base MO'!$A$24:$F$41,3,FALSE)</f>
        <v/>
      </c>
      <c r="D81" t="n">
        <v>190</v>
      </c>
      <c r="F81">
        <f>2*VLOOKUP(A81,FO_Vannes_Souder[],7,FALSE)</f>
        <v/>
      </c>
      <c r="G81">
        <f>IF($A81&gt;=FO_Peinture_SST_Seuil_DN,FO_Peinture_SST_Gros_DN,FO_Peinture_SST_Petit_DN)</f>
        <v/>
      </c>
    </row>
    <row r="82">
      <c r="A82" t="n">
        <v>25</v>
      </c>
      <c r="B82" t="inlineStr">
        <is>
          <t>S+T</t>
        </is>
      </c>
      <c r="C82">
        <f>2*'Base MO'!$G$5/VLOOKUP(A82,'Base MO'!$A$24:$F$41,3,FALSE)</f>
        <v/>
      </c>
      <c r="D82" t="n">
        <v>190</v>
      </c>
      <c r="F82">
        <f>2*VLOOKUP(A82,FO_Vannes_Souder[],7,FALSE)</f>
        <v/>
      </c>
      <c r="G82">
        <f>IF($A82&gt;=FO_Peinture_SST_Seuil_DN,FO_Peinture_SST_Gros_DN,FO_Peinture_SST_Petit_DN)</f>
        <v/>
      </c>
    </row>
    <row r="83">
      <c r="A83" t="n">
        <v>32</v>
      </c>
      <c r="B83" t="inlineStr">
        <is>
          <t>S+T</t>
        </is>
      </c>
      <c r="C83">
        <f>2*'Base MO'!$G$5/VLOOKUP(A83,'Base MO'!$A$24:$F$41,3,FALSE)</f>
        <v/>
      </c>
      <c r="D83" t="n">
        <v>190</v>
      </c>
      <c r="F83">
        <f>2*VLOOKUP(A83,FO_Vannes_Souder[],7,FALSE)</f>
        <v/>
      </c>
      <c r="G83">
        <f>IF($A83&gt;=FO_Peinture_SST_Seuil_DN,FO_Peinture_SST_Gros_DN,FO_Peinture_SST_Petit_DN)</f>
        <v/>
      </c>
    </row>
    <row r="84">
      <c r="A84" t="n">
        <v>40</v>
      </c>
      <c r="B84" t="inlineStr">
        <is>
          <t>S+T</t>
        </is>
      </c>
      <c r="C84">
        <f>2*'Base MO'!$G$5/VLOOKUP(A84,'Base MO'!$A$24:$F$41,3,FALSE)</f>
        <v/>
      </c>
      <c r="D84" t="n">
        <v>190</v>
      </c>
      <c r="F84">
        <f>2*VLOOKUP(A84,FO_Vannes_Souder[],7,FALSE)</f>
        <v/>
      </c>
      <c r="G84">
        <f>IF($A84&gt;=FO_Peinture_SST_Seuil_DN,FO_Peinture_SST_Gros_DN,FO_Peinture_SST_Petit_DN)</f>
        <v/>
      </c>
    </row>
    <row r="85">
      <c r="A85" t="n">
        <v>50</v>
      </c>
      <c r="B85" t="inlineStr">
        <is>
          <t>S+T</t>
        </is>
      </c>
      <c r="C85">
        <f>2*'Base MO'!$G$5/VLOOKUP(A85,'Base MO'!$A$24:$F$41,3,FALSE)</f>
        <v/>
      </c>
      <c r="D85" t="n">
        <v>190</v>
      </c>
      <c r="F85">
        <f>2*VLOOKUP(A85,FO_Vannes_Souder[],7,FALSE)</f>
        <v/>
      </c>
      <c r="G85">
        <f>IF($A85&gt;=FO_Peinture_SST_Seuil_DN,FO_Peinture_SST_Gros_DN,FO_Peinture_SST_Petit_DN)</f>
        <v/>
      </c>
    </row>
    <row r="86">
      <c r="A86" t="n">
        <v>65</v>
      </c>
      <c r="B86" t="inlineStr">
        <is>
          <t>S+T</t>
        </is>
      </c>
      <c r="C86">
        <f>2*'Base MO'!$G$5/VLOOKUP(A86,'Base MO'!$A$24:$F$41,3,FALSE)</f>
        <v/>
      </c>
      <c r="D86" t="n">
        <v>190</v>
      </c>
      <c r="F86">
        <f>2*VLOOKUP(A86,FO_Vannes_Souder[],7,FALSE)</f>
        <v/>
      </c>
      <c r="G86">
        <f>IF($A86&gt;=FO_Peinture_SST_Seuil_DN,FO_Peinture_SST_Gros_DN,FO_Peinture_SST_Petit_DN)</f>
        <v/>
      </c>
    </row>
    <row r="87">
      <c r="A87" t="n">
        <v>80</v>
      </c>
      <c r="B87" t="inlineStr">
        <is>
          <t>S+T</t>
        </is>
      </c>
      <c r="C87">
        <f>2*'Base MO'!$G$5/VLOOKUP(A87,'Base MO'!$A$24:$F$41,3,FALSE)</f>
        <v/>
      </c>
      <c r="D87" t="n">
        <v>190</v>
      </c>
      <c r="F87">
        <f>2*VLOOKUP(A87,FO_Vannes_Souder[],7,FALSE)</f>
        <v/>
      </c>
      <c r="G87">
        <f>IF($A87&gt;=FO_Peinture_SST_Seuil_DN,FO_Peinture_SST_Gros_DN,FO_Peinture_SST_Petit_DN)</f>
        <v/>
      </c>
    </row>
    <row r="88">
      <c r="A88" t="n">
        <v>100</v>
      </c>
      <c r="B88" t="inlineStr">
        <is>
          <t>S+T</t>
        </is>
      </c>
      <c r="C88">
        <f>2*'Base MO'!$G$5/VLOOKUP(A88,'Base MO'!$A$24:$F$41,3,FALSE)</f>
        <v/>
      </c>
      <c r="D88" t="n">
        <v>190</v>
      </c>
      <c r="F88">
        <f>2*VLOOKUP(A88,FO_Vannes_Souder[],7,FALSE)</f>
        <v/>
      </c>
      <c r="G88">
        <f>IF($A88&gt;=FO_Peinture_SST_Seuil_DN,FO_Peinture_SST_Gros_DN,FO_Peinture_SST_Petit_DN)</f>
        <v/>
      </c>
    </row>
    <row r="89"/>
    <row r="90">
      <c r="A90" t="inlineStr">
        <is>
          <t>SST — VANNES PAP PN25</t>
        </is>
      </c>
    </row>
    <row r="91"/>
    <row r="92">
      <c r="A92" t="inlineStr">
        <is>
          <t>DN</t>
        </is>
      </c>
      <c r="B92" t="inlineStr">
        <is>
          <t>Équipe</t>
        </is>
      </c>
      <c r="C92" t="inlineStr">
        <is>
          <t>Nb heures</t>
        </is>
      </c>
      <c r="D92" t="inlineStr">
        <is>
          <t>Taux horaire</t>
        </is>
      </c>
      <c r="E92" t="inlineStr">
        <is>
          <t>Montant MO</t>
        </is>
      </c>
      <c r="F92" t="inlineStr">
        <is>
          <t>Brides ×4</t>
        </is>
      </c>
      <c r="G92" t="inlineStr">
        <is>
          <t>Vanne lug ×2</t>
        </is>
      </c>
      <c r="H92" t="inlineStr">
        <is>
          <t>Boulonnerie + joints</t>
        </is>
      </c>
      <c r="I92" t="inlineStr">
        <is>
          <t>Peinture</t>
        </is>
      </c>
      <c r="J92" t="inlineStr">
        <is>
          <t>Total Fourn.</t>
        </is>
      </c>
      <c r="K92" t="inlineStr">
        <is>
          <t>TOTAL</t>
        </is>
      </c>
    </row>
    <row r="93">
      <c r="A93" t="n">
        <v>20</v>
      </c>
      <c r="B93" t="inlineStr">
        <is>
          <t>S+T</t>
        </is>
      </c>
      <c r="C93">
        <f>3*'Base MO'!$G$5/VLOOKUP(A93,'Base MO'!$A$24:$F$41,3,FALSE)</f>
        <v/>
      </c>
      <c r="D93" t="n">
        <v>190</v>
      </c>
      <c r="F93">
        <f>4*VLOOKUP(A93,FO_Vannes_Brides_PN16_PN25_PN40[],6,FALSE)</f>
        <v/>
      </c>
      <c r="G93">
        <f>2*VLOOKUP(A93,FO_Vannes_Brides_PN16_PN25_PN40[],5,FALSE)</f>
        <v/>
      </c>
      <c r="H93">
        <f>VLOOKUP(A93,FO_Vannes_Brides_PN16_PN25_PN40[],7,FALSE)+VLOOKUP(A93,FO_Vannes_Brides_PN16_PN25_PN40[],11,FALSE)</f>
        <v/>
      </c>
      <c r="I93">
        <f>IF($A93&gt;=FO_Peinture_SST_Seuil_DN,FO_Peinture_SST_Gros_DN,FO_Peinture_SST_Petit_DN)</f>
        <v/>
      </c>
    </row>
    <row r="94">
      <c r="A94" t="n">
        <v>25</v>
      </c>
      <c r="B94" t="inlineStr">
        <is>
          <t>S+T</t>
        </is>
      </c>
      <c r="C94">
        <f>3*'Base MO'!$G$5/VLOOKUP(A94,'Base MO'!$A$24:$F$41,3,FALSE)</f>
        <v/>
      </c>
      <c r="D94" t="n">
        <v>190</v>
      </c>
      <c r="F94">
        <f>4*VLOOKUP(A94,FO_Vannes_Brides_PN16_PN25_PN40[],6,FALSE)</f>
        <v/>
      </c>
      <c r="G94">
        <f>2*VLOOKUP(A94,FO_Vannes_Brides_PN16_PN25_PN40[],5,FALSE)</f>
        <v/>
      </c>
      <c r="H94">
        <f>VLOOKUP(A94,FO_Vannes_Brides_PN16_PN25_PN40[],7,FALSE)+VLOOKUP(A94,FO_Vannes_Brides_PN16_PN25_PN40[],11,FALSE)</f>
        <v/>
      </c>
      <c r="I94">
        <f>IF($A94&gt;=FO_Peinture_SST_Seuil_DN,FO_Peinture_SST_Gros_DN,FO_Peinture_SST_Petit_DN)</f>
        <v/>
      </c>
    </row>
    <row r="95">
      <c r="A95" t="n">
        <v>32</v>
      </c>
      <c r="B95" t="inlineStr">
        <is>
          <t>S+T</t>
        </is>
      </c>
      <c r="C95">
        <f>3*'Base MO'!$G$5/VLOOKUP(A95,'Base MO'!$A$24:$F$41,3,FALSE)</f>
        <v/>
      </c>
      <c r="D95" t="n">
        <v>190</v>
      </c>
      <c r="F95">
        <f>4*VLOOKUP(A95,FO_Vannes_Brides_PN16_PN25_PN40[],6,FALSE)</f>
        <v/>
      </c>
      <c r="G95">
        <f>2*VLOOKUP(A95,FO_Vannes_Brides_PN16_PN25_PN40[],5,FALSE)</f>
        <v/>
      </c>
      <c r="H95">
        <f>VLOOKUP(A95,FO_Vannes_Brides_PN16_PN25_PN40[],7,FALSE)+VLOOKUP(A95,FO_Vannes_Brides_PN16_PN25_PN40[],11,FALSE)</f>
        <v/>
      </c>
      <c r="I95">
        <f>IF($A95&gt;=FO_Peinture_SST_Seuil_DN,FO_Peinture_SST_Gros_DN,FO_Peinture_SST_Petit_DN)</f>
        <v/>
      </c>
    </row>
    <row r="96">
      <c r="A96" t="n">
        <v>40</v>
      </c>
      <c r="B96" t="inlineStr">
        <is>
          <t>S+T</t>
        </is>
      </c>
      <c r="C96">
        <f>3*'Base MO'!$G$5/VLOOKUP(A96,'Base MO'!$A$24:$F$41,3,FALSE)</f>
        <v/>
      </c>
      <c r="D96" t="n">
        <v>190</v>
      </c>
      <c r="F96">
        <f>4*VLOOKUP(A96,FO_Vannes_Brides_PN16_PN25_PN40[],6,FALSE)</f>
        <v/>
      </c>
      <c r="G96">
        <f>2*VLOOKUP(A96,FO_Vannes_Brides_PN16_PN25_PN40[],5,FALSE)</f>
        <v/>
      </c>
      <c r="H96">
        <f>VLOOKUP(A96,FO_Vannes_Brides_PN16_PN25_PN40[],7,FALSE)+VLOOKUP(A96,FO_Vannes_Brides_PN16_PN25_PN40[],11,FALSE)</f>
        <v/>
      </c>
      <c r="I96">
        <f>IF($A96&gt;=FO_Peinture_SST_Seuil_DN,FO_Peinture_SST_Gros_DN,FO_Peinture_SST_Petit_DN)</f>
        <v/>
      </c>
    </row>
    <row r="97">
      <c r="A97" t="n">
        <v>50</v>
      </c>
      <c r="B97" t="inlineStr">
        <is>
          <t>S+T</t>
        </is>
      </c>
      <c r="C97">
        <f>3*'Base MO'!$G$5/VLOOKUP(A97,'Base MO'!$A$24:$F$41,3,FALSE)</f>
        <v/>
      </c>
      <c r="D97" t="n">
        <v>190</v>
      </c>
      <c r="F97">
        <f>4*VLOOKUP(A97,FO_Vannes_Brides_PN16_PN25_PN40[],6,FALSE)</f>
        <v/>
      </c>
      <c r="G97">
        <f>2*VLOOKUP(A97,FO_Vannes_Brides_PN16_PN25_PN40[],5,FALSE)</f>
        <v/>
      </c>
      <c r="H97">
        <f>VLOOKUP(A97,FO_Vannes_Brides_PN16_PN25_PN40[],7,FALSE)+VLOOKUP(A97,FO_Vannes_Brides_PN16_PN25_PN40[],11,FALSE)</f>
        <v/>
      </c>
      <c r="I97">
        <f>IF($A97&gt;=FO_Peinture_SST_Seuil_DN,FO_Peinture_SST_Gros_DN,FO_Peinture_SST_Petit_DN)</f>
        <v/>
      </c>
    </row>
    <row r="98">
      <c r="A98" t="n">
        <v>65</v>
      </c>
      <c r="B98" t="inlineStr">
        <is>
          <t>S+T</t>
        </is>
      </c>
      <c r="C98">
        <f>3*'Base MO'!$G$5/VLOOKUP(A98,'Base MO'!$A$24:$F$41,3,FALSE)</f>
        <v/>
      </c>
      <c r="D98" t="n">
        <v>190</v>
      </c>
      <c r="F98">
        <f>4*VLOOKUP(A98,FO_Vannes_Brides_PN16_PN25_PN40[],6,FALSE)</f>
        <v/>
      </c>
      <c r="G98">
        <f>2*VLOOKUP(A98,FO_Vannes_Brides_PN16_PN25_PN40[],5,FALSE)</f>
        <v/>
      </c>
      <c r="H98">
        <f>VLOOKUP(A98,FO_Vannes_Brides_PN16_PN25_PN40[],7,FALSE)+VLOOKUP(A98,FO_Vannes_Brides_PN16_PN25_PN40[],11,FALSE)</f>
        <v/>
      </c>
      <c r="I98">
        <f>IF($A98&gt;=FO_Peinture_SST_Seuil_DN,FO_Peinture_SST_Gros_DN,FO_Peinture_SST_Petit_DN)</f>
        <v/>
      </c>
    </row>
    <row r="99">
      <c r="A99" t="n">
        <v>80</v>
      </c>
      <c r="B99" t="inlineStr">
        <is>
          <t>S+T</t>
        </is>
      </c>
      <c r="C99">
        <f>3*'Base MO'!$G$5/VLOOKUP(A99,'Base MO'!$A$24:$F$41,3,FALSE)</f>
        <v/>
      </c>
      <c r="D99" t="n">
        <v>190</v>
      </c>
      <c r="F99">
        <f>4*VLOOKUP(A99,FO_Vannes_Brides_PN16_PN25_PN40[],6,FALSE)</f>
        <v/>
      </c>
      <c r="G99">
        <f>2*VLOOKUP(A99,FO_Vannes_Brides_PN16_PN25_PN40[],5,FALSE)</f>
        <v/>
      </c>
      <c r="H99">
        <f>VLOOKUP(A99,FO_Vannes_Brides_PN16_PN25_PN40[],7,FALSE)+VLOOKUP(A99,FO_Vannes_Brides_PN16_PN25_PN40[],11,FALSE)</f>
        <v/>
      </c>
      <c r="I99">
        <f>IF($A99&gt;=FO_Peinture_SST_Seuil_DN,FO_Peinture_SST_Gros_DN,FO_Peinture_SST_Petit_DN)</f>
        <v/>
      </c>
    </row>
    <row r="100">
      <c r="A100" t="n">
        <v>100</v>
      </c>
      <c r="B100" t="inlineStr">
        <is>
          <t>S+T</t>
        </is>
      </c>
      <c r="C100">
        <f>3*'Base MO'!$G$5/VLOOKUP(A100,'Base MO'!$A$24:$F$41,3,FALSE)</f>
        <v/>
      </c>
      <c r="D100" t="n">
        <v>190</v>
      </c>
      <c r="F100">
        <f>4*VLOOKUP(A100,FO_Vannes_Brides_PN16_PN25_PN40[],6,FALSE)</f>
        <v/>
      </c>
      <c r="G100">
        <f>2*VLOOKUP(A100,FO_Vannes_Brides_PN16_PN25_PN40[],5,FALSE)</f>
        <v/>
      </c>
      <c r="H100">
        <f>VLOOKUP(A100,FO_Vannes_Brides_PN16_PN25_PN40[],7,FALSE)+VLOOKUP(A100,FO_Vannes_Brides_PN16_PN25_PN40[],11,FALSE)</f>
        <v/>
      </c>
      <c r="I100">
        <f>IF($A100&gt;=FO_Peinture_SST_Seuil_DN,FO_Peinture_SST_Gros_DN,FO_Peinture_SST_Petit_DN)</f>
        <v/>
      </c>
    </row>
    <row r="101"/>
    <row r="102">
      <c r="A102" t="inlineStr">
        <is>
          <t>SST — VANNES BS BRIDES PN25</t>
        </is>
      </c>
    </row>
    <row r="103"/>
    <row r="104">
      <c r="A104" t="inlineStr">
        <is>
          <t>DN</t>
        </is>
      </c>
      <c r="B104" t="inlineStr">
        <is>
          <t>Équipe</t>
        </is>
      </c>
      <c r="C104" t="inlineStr">
        <is>
          <t>Nb heures</t>
        </is>
      </c>
      <c r="D104" t="inlineStr">
        <is>
          <t>Taux horaire</t>
        </is>
      </c>
      <c r="E104" t="inlineStr">
        <is>
          <t>Montant MO</t>
        </is>
      </c>
      <c r="F104" t="inlineStr">
        <is>
          <t>Brides ×4</t>
        </is>
      </c>
      <c r="G104" t="inlineStr">
        <is>
          <t>Vanne lug ×2</t>
        </is>
      </c>
      <c r="H104" t="inlineStr">
        <is>
          <t>Boulonnerie + joints</t>
        </is>
      </c>
      <c r="I104" t="inlineStr">
        <is>
          <t>Peinture</t>
        </is>
      </c>
      <c r="J104" t="inlineStr">
        <is>
          <t>Total Fourn.</t>
        </is>
      </c>
      <c r="K104" t="inlineStr">
        <is>
          <t>TOTAL</t>
        </is>
      </c>
    </row>
    <row r="105">
      <c r="A105" t="n">
        <v>20</v>
      </c>
      <c r="B105" t="inlineStr">
        <is>
          <t>S+T</t>
        </is>
      </c>
      <c r="C105">
        <f>3*'Base MO'!$G$5/VLOOKUP(A105,'Base MO'!$A$24:$F$41,3,FALSE)</f>
        <v/>
      </c>
      <c r="D105" t="n">
        <v>190</v>
      </c>
      <c r="F105">
        <f>4*VLOOKUP(A105,FO_Vannes_BS_Brides[],6,FALSE)</f>
        <v/>
      </c>
      <c r="G105">
        <f>2*VLOOKUP(A105,FO_Vannes_BS_Brides[],5,FALSE)</f>
        <v/>
      </c>
      <c r="H105">
        <f>VLOOKUP(A105,FO_Vannes_BS_Brides[],7,FALSE)+VLOOKUP(A105,FO_Vannes_BS_Brides[],8,FALSE)</f>
        <v/>
      </c>
      <c r="I105">
        <f>IF($A105&gt;=FO_Peinture_SST_Seuil_DN,FO_Peinture_SST_Gros_DN,FO_Peinture_SST_Petit_DN)</f>
        <v/>
      </c>
    </row>
    <row r="106">
      <c r="A106" t="n">
        <v>25</v>
      </c>
      <c r="B106" t="inlineStr">
        <is>
          <t>S+T</t>
        </is>
      </c>
      <c r="C106">
        <f>3*'Base MO'!$G$5/VLOOKUP(A106,'Base MO'!$A$24:$F$41,3,FALSE)</f>
        <v/>
      </c>
      <c r="D106" t="n">
        <v>190</v>
      </c>
      <c r="F106">
        <f>4*VLOOKUP(A106,FO_Vannes_BS_Brides[],6,FALSE)</f>
        <v/>
      </c>
      <c r="G106">
        <f>2*VLOOKUP(A106,FO_Vannes_BS_Brides[],5,FALSE)</f>
        <v/>
      </c>
      <c r="H106">
        <f>VLOOKUP(A106,FO_Vannes_BS_Brides[],7,FALSE)+VLOOKUP(A106,FO_Vannes_BS_Brides[],8,FALSE)</f>
        <v/>
      </c>
      <c r="I106">
        <f>IF($A106&gt;=FO_Peinture_SST_Seuil_DN,FO_Peinture_SST_Gros_DN,FO_Peinture_SST_Petit_DN)</f>
        <v/>
      </c>
    </row>
    <row r="107">
      <c r="A107" t="n">
        <v>32</v>
      </c>
      <c r="B107" t="inlineStr">
        <is>
          <t>S+T</t>
        </is>
      </c>
      <c r="C107">
        <f>3*'Base MO'!$G$5/VLOOKUP(A107,'Base MO'!$A$24:$F$41,3,FALSE)</f>
        <v/>
      </c>
      <c r="D107" t="n">
        <v>190</v>
      </c>
      <c r="F107">
        <f>4*VLOOKUP(A107,FO_Vannes_BS_Brides[],6,FALSE)</f>
        <v/>
      </c>
      <c r="G107">
        <f>2*VLOOKUP(A107,FO_Vannes_BS_Brides[],5,FALSE)</f>
        <v/>
      </c>
      <c r="H107">
        <f>VLOOKUP(A107,FO_Vannes_BS_Brides[],7,FALSE)+VLOOKUP(A107,FO_Vannes_BS_Brides[],8,FALSE)</f>
        <v/>
      </c>
      <c r="I107">
        <f>IF($A107&gt;=FO_Peinture_SST_Seuil_DN,FO_Peinture_SST_Gros_DN,FO_Peinture_SST_Petit_DN)</f>
        <v/>
      </c>
    </row>
    <row r="108">
      <c r="A108" t="n">
        <v>40</v>
      </c>
      <c r="B108" t="inlineStr">
        <is>
          <t>S+T</t>
        </is>
      </c>
      <c r="C108">
        <f>3*'Base MO'!$G$5/VLOOKUP(A108,'Base MO'!$A$24:$F$41,3,FALSE)</f>
        <v/>
      </c>
      <c r="D108" t="n">
        <v>190</v>
      </c>
      <c r="F108">
        <f>4*VLOOKUP(A108,FO_Vannes_BS_Brides[],6,FALSE)</f>
        <v/>
      </c>
      <c r="G108">
        <f>2*VLOOKUP(A108,FO_Vannes_BS_Brides[],5,FALSE)</f>
        <v/>
      </c>
      <c r="H108">
        <f>VLOOKUP(A108,FO_Vannes_BS_Brides[],7,FALSE)+VLOOKUP(A108,FO_Vannes_BS_Brides[],8,FALSE)</f>
        <v/>
      </c>
      <c r="I108">
        <f>IF($A108&gt;=FO_Peinture_SST_Seuil_DN,FO_Peinture_SST_Gros_DN,FO_Peinture_SST_Petit_DN)</f>
        <v/>
      </c>
    </row>
    <row r="109">
      <c r="A109" t="n">
        <v>50</v>
      </c>
      <c r="B109" t="inlineStr">
        <is>
          <t>S+T</t>
        </is>
      </c>
      <c r="C109">
        <f>3*'Base MO'!$G$5/VLOOKUP(A109,'Base MO'!$A$24:$F$41,3,FALSE)</f>
        <v/>
      </c>
      <c r="D109" t="n">
        <v>190</v>
      </c>
      <c r="F109">
        <f>4*VLOOKUP(A109,FO_Vannes_BS_Brides[],6,FALSE)</f>
        <v/>
      </c>
      <c r="G109">
        <f>2*VLOOKUP(A109,FO_Vannes_BS_Brides[],5,FALSE)</f>
        <v/>
      </c>
      <c r="H109">
        <f>VLOOKUP(A109,FO_Vannes_BS_Brides[],7,FALSE)+VLOOKUP(A109,FO_Vannes_BS_Brides[],8,FALSE)</f>
        <v/>
      </c>
      <c r="I109">
        <f>IF($A109&gt;=FO_Peinture_SST_Seuil_DN,FO_Peinture_SST_Gros_DN,FO_Peinture_SST_Petit_DN)</f>
        <v/>
      </c>
    </row>
    <row r="110">
      <c r="A110" t="n">
        <v>65</v>
      </c>
      <c r="B110" t="inlineStr">
        <is>
          <t>S+T</t>
        </is>
      </c>
      <c r="C110">
        <f>3*'Base MO'!$G$5/VLOOKUP(A110,'Base MO'!$A$24:$F$41,3,FALSE)</f>
        <v/>
      </c>
      <c r="D110" t="n">
        <v>190</v>
      </c>
      <c r="F110">
        <f>4*VLOOKUP(A110,FO_Vannes_BS_Brides[],6,FALSE)</f>
        <v/>
      </c>
      <c r="G110">
        <f>2*VLOOKUP(A110,FO_Vannes_BS_Brides[],5,FALSE)</f>
        <v/>
      </c>
      <c r="H110">
        <f>VLOOKUP(A110,FO_Vannes_BS_Brides[],7,FALSE)+VLOOKUP(A110,FO_Vannes_BS_Brides[],8,FALSE)</f>
        <v/>
      </c>
      <c r="I110">
        <f>IF($A110&gt;=FO_Peinture_SST_Seuil_DN,FO_Peinture_SST_Gros_DN,FO_Peinture_SST_Petit_DN)</f>
        <v/>
      </c>
    </row>
    <row r="111">
      <c r="A111" t="n">
        <v>80</v>
      </c>
      <c r="B111" t="inlineStr">
        <is>
          <t>S+T</t>
        </is>
      </c>
      <c r="C111">
        <f>3*'Base MO'!$G$5/VLOOKUP(A111,'Base MO'!$A$24:$F$41,3,FALSE)</f>
        <v/>
      </c>
      <c r="D111" t="n">
        <v>190</v>
      </c>
      <c r="F111">
        <f>4*VLOOKUP(A111,FO_Vannes_BS_Brides[],6,FALSE)</f>
        <v/>
      </c>
      <c r="G111">
        <f>2*VLOOKUP(A111,FO_Vannes_BS_Brides[],5,FALSE)</f>
        <v/>
      </c>
      <c r="H111">
        <f>VLOOKUP(A111,FO_Vannes_BS_Brides[],7,FALSE)+VLOOKUP(A111,FO_Vannes_BS_Brides[],8,FALSE)</f>
        <v/>
      </c>
      <c r="I111">
        <f>IF($A111&gt;=FO_Peinture_SST_Seuil_DN,FO_Peinture_SST_Gros_DN,FO_Peinture_SST_Petit_DN)</f>
        <v/>
      </c>
    </row>
    <row r="112">
      <c r="A112" t="n">
        <v>100</v>
      </c>
      <c r="B112" t="inlineStr">
        <is>
          <t>S+T</t>
        </is>
      </c>
      <c r="C112">
        <f>3*'Base MO'!$G$5/VLOOKUP(A112,'Base MO'!$A$24:$F$41,3,FALSE)</f>
        <v/>
      </c>
      <c r="D112" t="n">
        <v>190</v>
      </c>
      <c r="F112">
        <f>4*VLOOKUP(A112,FO_Vannes_BS_Brides[],6,FALSE)</f>
        <v/>
      </c>
      <c r="G112">
        <f>2*VLOOKUP(A112,FO_Vannes_BS_Brides[],5,FALSE)</f>
        <v/>
      </c>
      <c r="H112">
        <f>VLOOKUP(A112,FO_Vannes_BS_Brides[],7,FALSE)+VLOOKUP(A112,FO_Vannes_BS_Brides[],8,FALSE)</f>
        <v/>
      </c>
      <c r="I112">
        <f>IF($A112&gt;=FO_Peinture_SST_Seuil_DN,FO_Peinture_SST_Gros_DN,FO_Peinture_SST_Petit_DN)</f>
        <v/>
      </c>
    </row>
    <row r="113"/>
    <row r="114">
      <c r="A114" t="inlineStr">
        <is>
          <t>RACCORDEMENT — INSERTION DE TÉS</t>
        </is>
      </c>
    </row>
    <row r="115"/>
    <row r="116">
      <c r="A116" t="inlineStr">
        <is>
          <t>DN</t>
        </is>
      </c>
      <c r="B116" t="inlineStr">
        <is>
          <t>Équipe 1</t>
        </is>
      </c>
      <c r="C116" t="inlineStr">
        <is>
          <t>Nb heures 1</t>
        </is>
      </c>
      <c r="D116" t="inlineStr">
        <is>
          <t>Équipe 2</t>
        </is>
      </c>
      <c r="E116" t="inlineStr">
        <is>
          <t>Nb heures 2</t>
        </is>
      </c>
      <c r="F116" t="inlineStr">
        <is>
          <t>Montant MO</t>
        </is>
      </c>
      <c r="G116" t="inlineStr">
        <is>
          <t>Total Fourn.</t>
        </is>
      </c>
      <c r="H116" t="inlineStr">
        <is>
          <t>TOTAL</t>
        </is>
      </c>
    </row>
    <row r="117">
      <c r="A117" t="n">
        <v>20</v>
      </c>
      <c r="B117" t="inlineStr">
        <is>
          <t>S+T+P</t>
        </is>
      </c>
      <c r="C117" t="n">
        <v>8</v>
      </c>
      <c r="D117" t="inlineStr">
        <is>
          <t>M</t>
        </is>
      </c>
      <c r="E117" t="n">
        <v>8</v>
      </c>
      <c r="G117" t="n">
        <v>0</v>
      </c>
    </row>
    <row r="118">
      <c r="A118" t="n">
        <v>25</v>
      </c>
      <c r="B118" t="inlineStr">
        <is>
          <t>S+T+P</t>
        </is>
      </c>
      <c r="C118" t="n">
        <v>8</v>
      </c>
      <c r="D118" t="inlineStr">
        <is>
          <t>M</t>
        </is>
      </c>
      <c r="E118" t="n">
        <v>8</v>
      </c>
      <c r="G118" t="n">
        <v>0</v>
      </c>
    </row>
    <row r="119">
      <c r="A119" t="n">
        <v>32</v>
      </c>
      <c r="B119" t="inlineStr">
        <is>
          <t>S+T+P</t>
        </is>
      </c>
      <c r="C119" t="n">
        <v>8</v>
      </c>
      <c r="D119" t="inlineStr">
        <is>
          <t>M</t>
        </is>
      </c>
      <c r="E119" t="n">
        <v>8</v>
      </c>
      <c r="G119" t="n">
        <v>0</v>
      </c>
    </row>
    <row r="120">
      <c r="A120" t="n">
        <v>40</v>
      </c>
      <c r="B120" t="inlineStr">
        <is>
          <t>S+T+P</t>
        </is>
      </c>
      <c r="C120" t="n">
        <v>8</v>
      </c>
      <c r="D120" t="inlineStr">
        <is>
          <t>M</t>
        </is>
      </c>
      <c r="E120" t="n">
        <v>8</v>
      </c>
      <c r="G120" t="n">
        <v>0</v>
      </c>
    </row>
    <row r="121">
      <c r="A121" t="n">
        <v>50</v>
      </c>
      <c r="B121" t="inlineStr">
        <is>
          <t>S+T+P</t>
        </is>
      </c>
      <c r="C121" t="n">
        <v>8</v>
      </c>
      <c r="D121" t="inlineStr">
        <is>
          <t>M</t>
        </is>
      </c>
      <c r="E121" t="n">
        <v>8</v>
      </c>
      <c r="G121" t="n">
        <v>0</v>
      </c>
    </row>
    <row r="122">
      <c r="A122" t="n">
        <v>65</v>
      </c>
      <c r="B122" t="inlineStr">
        <is>
          <t>S+T+P</t>
        </is>
      </c>
      <c r="C122" t="n">
        <v>8</v>
      </c>
      <c r="D122" t="inlineStr">
        <is>
          <t>M</t>
        </is>
      </c>
      <c r="E122" t="n">
        <v>8</v>
      </c>
      <c r="G122" t="n">
        <v>0</v>
      </c>
    </row>
    <row r="123">
      <c r="A123" t="n">
        <v>80</v>
      </c>
      <c r="B123" t="inlineStr">
        <is>
          <t>S+T+P</t>
        </is>
      </c>
      <c r="C123" t="n">
        <v>8</v>
      </c>
      <c r="D123" t="inlineStr">
        <is>
          <t>M</t>
        </is>
      </c>
      <c r="E123" t="n">
        <v>8</v>
      </c>
      <c r="G123" t="n">
        <v>0</v>
      </c>
    </row>
    <row r="124">
      <c r="A124" t="n">
        <v>100</v>
      </c>
      <c r="B124" t="inlineStr">
        <is>
          <t>S+T+P</t>
        </is>
      </c>
      <c r="C124" t="n">
        <v>8</v>
      </c>
      <c r="D124" t="inlineStr">
        <is>
          <t>M</t>
        </is>
      </c>
      <c r="E124" t="n">
        <v>8</v>
      </c>
      <c r="G124" t="n">
        <v>0</v>
      </c>
    </row>
    <row r="125">
      <c r="A125" t="n">
        <v>125</v>
      </c>
      <c r="B125" t="inlineStr">
        <is>
          <t>S+T+P</t>
        </is>
      </c>
      <c r="C125" t="n">
        <v>12</v>
      </c>
      <c r="D125" t="inlineStr">
        <is>
          <t>M</t>
        </is>
      </c>
      <c r="E125" t="n">
        <v>12</v>
      </c>
      <c r="G125" t="n">
        <v>0</v>
      </c>
    </row>
    <row r="126">
      <c r="A126" t="n">
        <v>150</v>
      </c>
      <c r="B126" t="inlineStr">
        <is>
          <t>S+T+P</t>
        </is>
      </c>
      <c r="C126" t="n">
        <v>12</v>
      </c>
      <c r="D126" t="inlineStr">
        <is>
          <t>M</t>
        </is>
      </c>
      <c r="E126" t="n">
        <v>12</v>
      </c>
      <c r="G126" t="n">
        <v>0</v>
      </c>
    </row>
    <row r="127">
      <c r="A127" t="n">
        <v>200</v>
      </c>
      <c r="B127" t="inlineStr">
        <is>
          <t>S+T+P</t>
        </is>
      </c>
      <c r="C127" t="n">
        <v>12</v>
      </c>
      <c r="D127" t="inlineStr">
        <is>
          <t>M</t>
        </is>
      </c>
      <c r="E127" t="n">
        <v>12</v>
      </c>
      <c r="G127" t="n">
        <v>0</v>
      </c>
    </row>
    <row r="128">
      <c r="A128" t="n">
        <v>250</v>
      </c>
      <c r="B128" t="inlineStr">
        <is>
          <t>S+T+P</t>
        </is>
      </c>
      <c r="C128" t="n">
        <v>12</v>
      </c>
      <c r="D128" t="inlineStr">
        <is>
          <t>M</t>
        </is>
      </c>
      <c r="E128" t="n">
        <v>12</v>
      </c>
      <c r="G128" t="n">
        <v>0</v>
      </c>
    </row>
    <row r="129"/>
    <row r="130">
      <c r="A130" t="inlineStr">
        <is>
          <t>RACCORDEMENT SUR ATTENTE</t>
        </is>
      </c>
    </row>
    <row r="131"/>
    <row r="132">
      <c r="A132" t="inlineStr">
        <is>
          <t>DN</t>
        </is>
      </c>
      <c r="B132" t="inlineStr">
        <is>
          <t>Équipe 1</t>
        </is>
      </c>
      <c r="C132" t="inlineStr">
        <is>
          <t>Nb heures 1</t>
        </is>
      </c>
      <c r="D132" t="inlineStr">
        <is>
          <t>Équipe 2</t>
        </is>
      </c>
      <c r="E132" t="inlineStr">
        <is>
          <t>Nb heures 2</t>
        </is>
      </c>
      <c r="F132" t="inlineStr">
        <is>
          <t>Montant MO</t>
        </is>
      </c>
      <c r="G132" t="inlineStr">
        <is>
          <t>Total Fourn.</t>
        </is>
      </c>
      <c r="H132" t="inlineStr">
        <is>
          <t>TOTAL</t>
        </is>
      </c>
    </row>
    <row r="133">
      <c r="A133" t="n">
        <v>20</v>
      </c>
      <c r="B133" t="inlineStr">
        <is>
          <t>S+T+P</t>
        </is>
      </c>
      <c r="C133" t="n">
        <v>6</v>
      </c>
      <c r="D133" t="inlineStr">
        <is>
          <t>M</t>
        </is>
      </c>
      <c r="E133" t="n">
        <v>6</v>
      </c>
      <c r="G133" t="n">
        <v>0</v>
      </c>
    </row>
    <row r="134">
      <c r="A134" t="n">
        <v>25</v>
      </c>
      <c r="B134" t="inlineStr">
        <is>
          <t>S+T+P</t>
        </is>
      </c>
      <c r="C134" t="n">
        <v>6</v>
      </c>
      <c r="D134" t="inlineStr">
        <is>
          <t>M</t>
        </is>
      </c>
      <c r="E134" t="n">
        <v>6</v>
      </c>
      <c r="G134" t="n">
        <v>0</v>
      </c>
    </row>
    <row r="135">
      <c r="A135" t="n">
        <v>32</v>
      </c>
      <c r="B135" t="inlineStr">
        <is>
          <t>S+T+P</t>
        </is>
      </c>
      <c r="C135" t="n">
        <v>6</v>
      </c>
      <c r="D135" t="inlineStr">
        <is>
          <t>M</t>
        </is>
      </c>
      <c r="E135" t="n">
        <v>6</v>
      </c>
      <c r="G135" t="n">
        <v>0</v>
      </c>
    </row>
    <row r="136">
      <c r="A136" t="n">
        <v>40</v>
      </c>
      <c r="B136" t="inlineStr">
        <is>
          <t>S+T+P</t>
        </is>
      </c>
      <c r="C136" t="n">
        <v>6</v>
      </c>
      <c r="D136" t="inlineStr">
        <is>
          <t>M</t>
        </is>
      </c>
      <c r="E136" t="n">
        <v>6</v>
      </c>
      <c r="G136" t="n">
        <v>0</v>
      </c>
    </row>
    <row r="137">
      <c r="A137" t="n">
        <v>50</v>
      </c>
      <c r="B137" t="inlineStr">
        <is>
          <t>S+T+P</t>
        </is>
      </c>
      <c r="C137" t="n">
        <v>6</v>
      </c>
      <c r="D137" t="inlineStr">
        <is>
          <t>M</t>
        </is>
      </c>
      <c r="E137" t="n">
        <v>6</v>
      </c>
      <c r="G137" t="n">
        <v>0</v>
      </c>
    </row>
    <row r="138">
      <c r="A138" t="n">
        <v>65</v>
      </c>
      <c r="B138" t="inlineStr">
        <is>
          <t>S+T+P</t>
        </is>
      </c>
      <c r="C138" t="n">
        <v>6</v>
      </c>
      <c r="D138" t="inlineStr">
        <is>
          <t>M</t>
        </is>
      </c>
      <c r="E138" t="n">
        <v>6</v>
      </c>
      <c r="G138" t="n">
        <v>0</v>
      </c>
    </row>
    <row r="139">
      <c r="A139" t="n">
        <v>80</v>
      </c>
      <c r="B139" t="inlineStr">
        <is>
          <t>S+T+P</t>
        </is>
      </c>
      <c r="C139" t="n">
        <v>6</v>
      </c>
      <c r="D139" t="inlineStr">
        <is>
          <t>M</t>
        </is>
      </c>
      <c r="E139" t="n">
        <v>6</v>
      </c>
      <c r="G139" t="n">
        <v>0</v>
      </c>
    </row>
    <row r="140">
      <c r="A140" t="n">
        <v>100</v>
      </c>
      <c r="B140" t="inlineStr">
        <is>
          <t>S+T+P</t>
        </is>
      </c>
      <c r="C140" t="n">
        <v>6</v>
      </c>
      <c r="D140" t="inlineStr">
        <is>
          <t>M</t>
        </is>
      </c>
      <c r="E140" t="n">
        <v>6</v>
      </c>
      <c r="G140" t="n">
        <v>0</v>
      </c>
    </row>
    <row r="141">
      <c r="A141" t="n">
        <v>125</v>
      </c>
      <c r="B141" t="inlineStr">
        <is>
          <t>S+T+P</t>
        </is>
      </c>
      <c r="C141" t="n">
        <v>6</v>
      </c>
      <c r="D141" t="inlineStr">
        <is>
          <t>M</t>
        </is>
      </c>
      <c r="E141" t="n">
        <v>6</v>
      </c>
      <c r="G141" t="n">
        <v>0</v>
      </c>
    </row>
    <row r="142">
      <c r="A142" t="n">
        <v>150</v>
      </c>
      <c r="B142" t="inlineStr">
        <is>
          <t>S+T+P</t>
        </is>
      </c>
      <c r="C142" t="n">
        <v>6</v>
      </c>
      <c r="D142" t="inlineStr">
        <is>
          <t>M</t>
        </is>
      </c>
      <c r="E142" t="n">
        <v>6</v>
      </c>
      <c r="G142" t="n">
        <v>0</v>
      </c>
    </row>
    <row r="143">
      <c r="A143" t="n">
        <v>200</v>
      </c>
      <c r="B143" t="inlineStr">
        <is>
          <t>S+T+P</t>
        </is>
      </c>
      <c r="C143" t="n">
        <v>6</v>
      </c>
      <c r="D143" t="inlineStr">
        <is>
          <t>M</t>
        </is>
      </c>
      <c r="E143" t="n">
        <v>6</v>
      </c>
      <c r="G143" t="n">
        <v>0</v>
      </c>
    </row>
    <row r="144">
      <c r="A144" t="n">
        <v>250</v>
      </c>
      <c r="B144" t="inlineStr">
        <is>
          <t>S+T+P</t>
        </is>
      </c>
      <c r="C144" t="n">
        <v>6</v>
      </c>
      <c r="D144" t="inlineStr">
        <is>
          <t>M</t>
        </is>
      </c>
      <c r="E144" t="n">
        <v>6</v>
      </c>
      <c r="G144" t="n">
        <v>0</v>
      </c>
    </row>
    <row r="145"/>
    <row r="146">
      <c r="A146" t="inlineStr">
        <is>
          <t>RACCORDEMENT — PIQUAGE EN CHARGE</t>
        </is>
      </c>
    </row>
    <row r="147"/>
    <row r="148">
      <c r="A148" t="inlineStr">
        <is>
          <t>DN</t>
        </is>
      </c>
      <c r="B148" t="inlineStr">
        <is>
          <t>Équipe</t>
        </is>
      </c>
      <c r="C148" t="inlineStr">
        <is>
          <t>Nb heures</t>
        </is>
      </c>
      <c r="D148" t="inlineStr">
        <is>
          <t>Taux horaire</t>
        </is>
      </c>
      <c r="E148" t="inlineStr">
        <is>
          <t>Montant MO</t>
        </is>
      </c>
      <c r="F148" t="inlineStr">
        <is>
          <t>Vanne PEC ×2</t>
        </is>
      </c>
      <c r="G148" t="inlineStr">
        <is>
          <t>Selle renfort ×2</t>
        </is>
      </c>
      <c r="H148" t="inlineStr">
        <is>
          <t>Total Fourn.</t>
        </is>
      </c>
      <c r="I148" t="inlineStr">
        <is>
          <t>TOTAL</t>
        </is>
      </c>
    </row>
    <row r="149">
      <c r="A149" t="n">
        <v>20</v>
      </c>
      <c r="B149" t="inlineStr">
        <is>
          <t>S+T</t>
        </is>
      </c>
      <c r="C149" t="n">
        <v>10</v>
      </c>
      <c r="D149" t="n">
        <v>190</v>
      </c>
      <c r="F149">
        <f>2*VLOOKUP(A149,FO_Vannes_Souder[],6,FALSE)</f>
        <v/>
      </c>
      <c r="G149">
        <f>2*VLOOKUP(A149,FO_Accessoires_Acier[],12,FALSE)</f>
        <v/>
      </c>
    </row>
    <row r="150">
      <c r="A150" t="n">
        <v>25</v>
      </c>
      <c r="B150" t="inlineStr">
        <is>
          <t>S+T</t>
        </is>
      </c>
      <c r="C150" t="n">
        <v>10</v>
      </c>
      <c r="D150" t="n">
        <v>190</v>
      </c>
      <c r="F150">
        <f>2*VLOOKUP(A150,FO_Vannes_Souder[],6,FALSE)</f>
        <v/>
      </c>
      <c r="G150">
        <f>2*VLOOKUP(A150,FO_Accessoires_Acier[],12,FALSE)</f>
        <v/>
      </c>
    </row>
    <row r="151">
      <c r="A151" t="n">
        <v>32</v>
      </c>
      <c r="B151" t="inlineStr">
        <is>
          <t>S+T</t>
        </is>
      </c>
      <c r="C151" t="n">
        <v>10</v>
      </c>
      <c r="D151" t="n">
        <v>190</v>
      </c>
      <c r="F151">
        <f>2*VLOOKUP(A151,FO_Vannes_Souder[],6,FALSE)</f>
        <v/>
      </c>
      <c r="G151">
        <f>2*VLOOKUP(A151,FO_Accessoires_Acier[],12,FALSE)</f>
        <v/>
      </c>
    </row>
    <row r="152">
      <c r="A152" t="n">
        <v>40</v>
      </c>
      <c r="B152" t="inlineStr">
        <is>
          <t>S+T</t>
        </is>
      </c>
      <c r="C152" t="n">
        <v>10</v>
      </c>
      <c r="D152" t="n">
        <v>190</v>
      </c>
      <c r="F152">
        <f>2*VLOOKUP(A152,FO_Vannes_Souder[],6,FALSE)</f>
        <v/>
      </c>
      <c r="G152">
        <f>2*VLOOKUP(A152,FO_Accessoires_Acier[],12,FALSE)</f>
        <v/>
      </c>
    </row>
    <row r="153">
      <c r="A153" t="n">
        <v>50</v>
      </c>
      <c r="B153" t="inlineStr">
        <is>
          <t>S+T</t>
        </is>
      </c>
      <c r="C153" t="n">
        <v>10</v>
      </c>
      <c r="D153" t="n">
        <v>190</v>
      </c>
      <c r="F153">
        <f>2*VLOOKUP(A153,FO_Vannes_Souder[],6,FALSE)</f>
        <v/>
      </c>
      <c r="G153">
        <f>2*VLOOKUP(A153,FO_Accessoires_Acier[],12,FALSE)</f>
        <v/>
      </c>
    </row>
    <row r="154">
      <c r="A154" t="n">
        <v>65</v>
      </c>
      <c r="B154" t="inlineStr">
        <is>
          <t>S+T</t>
        </is>
      </c>
      <c r="C154" t="n">
        <v>10</v>
      </c>
      <c r="D154" t="n">
        <v>190</v>
      </c>
      <c r="F154">
        <f>2*VLOOKUP(A154,FO_Vannes_Souder[],6,FALSE)</f>
        <v/>
      </c>
      <c r="G154">
        <f>2*VLOOKUP(A154,FO_Accessoires_Acier[],12,FALSE)</f>
        <v/>
      </c>
    </row>
    <row r="155">
      <c r="A155" t="n">
        <v>80</v>
      </c>
      <c r="B155" t="inlineStr">
        <is>
          <t>S+T</t>
        </is>
      </c>
      <c r="C155" t="n">
        <v>10</v>
      </c>
      <c r="D155" t="n">
        <v>190</v>
      </c>
      <c r="F155">
        <f>2*VLOOKUP(A155,FO_Vannes_Souder[],6,FALSE)</f>
        <v/>
      </c>
      <c r="G155">
        <f>2*VLOOKUP(A155,FO_Accessoires_Acier[],12,FALSE)</f>
        <v/>
      </c>
    </row>
    <row r="156">
      <c r="A156" t="n">
        <v>100</v>
      </c>
      <c r="B156" t="inlineStr">
        <is>
          <t>S+T</t>
        </is>
      </c>
      <c r="C156" t="n">
        <v>10</v>
      </c>
      <c r="D156" t="n">
        <v>190</v>
      </c>
      <c r="F156">
        <f>2*VLOOKUP(A156,FO_Vannes_Souder[],6,FALSE)</f>
        <v/>
      </c>
      <c r="G156">
        <f>2*VLOOKUP(A156,FO_Accessoires_Acier[],12,FALSE)</f>
        <v/>
      </c>
    </row>
    <row r="157"/>
    <row r="158">
      <c r="A158" t="inlineStr">
        <is>
          <t>DÉCHARGEMENT</t>
        </is>
      </c>
    </row>
    <row r="159"/>
    <row r="160">
      <c r="A160" t="inlineStr">
        <is>
          <t>Désignation</t>
        </is>
      </c>
      <c r="B160" t="inlineStr">
        <is>
          <t>Équipe 1</t>
        </is>
      </c>
      <c r="C160" t="inlineStr">
        <is>
          <t>Nb heures 1</t>
        </is>
      </c>
      <c r="D160" t="inlineStr">
        <is>
          <t>Équipe 2</t>
        </is>
      </c>
      <c r="E160" t="inlineStr">
        <is>
          <t>Nb heures 2</t>
        </is>
      </c>
      <c r="F160" t="inlineStr">
        <is>
          <t>Taux Éq.1</t>
        </is>
      </c>
      <c r="G160" t="inlineStr">
        <is>
          <t>Taux Éq.2</t>
        </is>
      </c>
      <c r="H160" t="inlineStr">
        <is>
          <t>Nb personnes</t>
        </is>
      </c>
      <c r="I160" t="inlineStr">
        <is>
          <t>Montant MO</t>
        </is>
      </c>
    </row>
    <row r="161">
      <c r="A161" t="inlineStr">
        <is>
          <t>Déchargement</t>
        </is>
      </c>
      <c r="B161" t="inlineStr">
        <is>
          <t>S+T+P</t>
        </is>
      </c>
      <c r="C161" t="n">
        <v>2</v>
      </c>
      <c r="D161" t="inlineStr">
        <is>
          <t>M</t>
        </is>
      </c>
      <c r="E161" t="n">
        <v>2</v>
      </c>
      <c r="F161" t="n">
        <v>275</v>
      </c>
      <c r="G161" t="n">
        <v>80</v>
      </c>
      <c r="H161" t="n">
        <v>4</v>
      </c>
      <c r="I161" t="n">
        <v>710</v>
      </c>
    </row>
    <row r="162"/>
    <row r="163">
      <c r="A163" t="inlineStr">
        <is>
          <t>DÉCOUPE / COUPE / DÉPOSE</t>
        </is>
      </c>
    </row>
    <row r="164"/>
    <row r="165">
      <c r="A165" t="inlineStr">
        <is>
          <t>DN</t>
        </is>
      </c>
      <c r="B165" t="inlineStr">
        <is>
          <t>Équipe</t>
        </is>
      </c>
      <c r="C165" t="inlineStr">
        <is>
          <t>Coupes / jour</t>
        </is>
      </c>
    </row>
    <row r="166">
      <c r="A166" t="n">
        <v>20</v>
      </c>
      <c r="B166" t="inlineStr">
        <is>
          <t>S+T</t>
        </is>
      </c>
      <c r="C166" t="n">
        <v>48</v>
      </c>
    </row>
    <row r="167">
      <c r="A167" t="n">
        <v>25</v>
      </c>
      <c r="B167" t="inlineStr">
        <is>
          <t>S+T</t>
        </is>
      </c>
      <c r="C167" t="n">
        <v>48</v>
      </c>
    </row>
    <row r="168">
      <c r="A168" t="n">
        <v>32</v>
      </c>
      <c r="B168" t="inlineStr">
        <is>
          <t>S+T</t>
        </is>
      </c>
      <c r="C168" t="n">
        <v>48</v>
      </c>
    </row>
    <row r="169">
      <c r="A169" t="n">
        <v>40</v>
      </c>
      <c r="B169" t="inlineStr">
        <is>
          <t>S+T</t>
        </is>
      </c>
      <c r="C169" t="n">
        <v>48</v>
      </c>
    </row>
    <row r="170">
      <c r="A170" t="n">
        <v>50</v>
      </c>
      <c r="B170" t="inlineStr">
        <is>
          <t>S+T</t>
        </is>
      </c>
      <c r="C170" t="n">
        <v>48</v>
      </c>
    </row>
    <row r="171">
      <c r="A171" t="n">
        <v>65</v>
      </c>
      <c r="B171" t="inlineStr">
        <is>
          <t>S+T</t>
        </is>
      </c>
      <c r="C171" t="n">
        <v>48</v>
      </c>
    </row>
    <row r="172">
      <c r="A172" t="n">
        <v>80</v>
      </c>
      <c r="B172" t="inlineStr">
        <is>
          <t>S+T</t>
        </is>
      </c>
      <c r="C172" t="n">
        <v>48</v>
      </c>
    </row>
    <row r="173">
      <c r="A173" t="n">
        <v>100</v>
      </c>
      <c r="B173" t="inlineStr">
        <is>
          <t>S+T</t>
        </is>
      </c>
      <c r="C173" t="n">
        <v>48</v>
      </c>
    </row>
    <row r="174">
      <c r="A174" t="n">
        <v>125</v>
      </c>
      <c r="B174" t="inlineStr">
        <is>
          <t>S+T</t>
        </is>
      </c>
      <c r="C174" t="n">
        <v>24</v>
      </c>
    </row>
    <row r="175">
      <c r="A175" t="n">
        <v>150</v>
      </c>
      <c r="B175" t="inlineStr">
        <is>
          <t>S+T</t>
        </is>
      </c>
      <c r="C175" t="n">
        <v>24</v>
      </c>
    </row>
    <row r="176">
      <c r="A176" t="n">
        <v>200</v>
      </c>
      <c r="B176" t="inlineStr">
        <is>
          <t>S+T</t>
        </is>
      </c>
      <c r="C176" t="n">
        <v>24</v>
      </c>
    </row>
    <row r="177">
      <c r="A177" t="n">
        <v>250</v>
      </c>
      <c r="B177" t="inlineStr">
        <is>
          <t>S+T</t>
        </is>
      </c>
      <c r="C177" t="n">
        <v>24</v>
      </c>
    </row>
    <row r="178">
      <c r="A178" t="n">
        <v>300</v>
      </c>
      <c r="B178" t="inlineStr">
        <is>
          <t>S+T</t>
        </is>
      </c>
      <c r="C178" t="n">
        <v>24</v>
      </c>
    </row>
    <row r="179">
      <c r="A179" t="n">
        <v>350</v>
      </c>
      <c r="B179" t="inlineStr">
        <is>
          <t>S+T</t>
        </is>
      </c>
      <c r="C179" t="n">
        <v>24</v>
      </c>
    </row>
    <row r="180">
      <c r="A180" t="n">
        <v>400</v>
      </c>
      <c r="B180" t="inlineStr">
        <is>
          <t>S+T</t>
        </is>
      </c>
      <c r="C180" t="n">
        <v>24</v>
      </c>
    </row>
    <row r="181">
      <c r="A181" t="n">
        <v>450</v>
      </c>
      <c r="B181" t="inlineStr">
        <is>
          <t>S+T</t>
        </is>
      </c>
      <c r="C181" t="n">
        <v>24</v>
      </c>
    </row>
    <row r="182">
      <c r="A182" t="n">
        <v>500</v>
      </c>
      <c r="B182" t="inlineStr">
        <is>
          <t>S+T</t>
        </is>
      </c>
      <c r="C182" t="n">
        <v>24</v>
      </c>
    </row>
    <row r="183">
      <c r="A183" t="n">
        <v>600</v>
      </c>
      <c r="B183" t="inlineStr">
        <is>
          <t>S+T</t>
        </is>
      </c>
      <c r="C183" t="n">
        <v>24</v>
      </c>
    </row>
    <row r="184"/>
    <row r="185">
      <c r="A185" t="inlineStr">
        <is>
          <t>EXTRUSION (manchons — base)</t>
        </is>
      </c>
    </row>
    <row r="186"/>
    <row r="187">
      <c r="C187" t="inlineStr">
        <is>
          <t>Heures</t>
        </is>
      </c>
      <c r="I187" t="inlineStr">
        <is>
          <t>MO</t>
        </is>
      </c>
      <c r="N187" t="inlineStr">
        <is>
          <t>Fournitures</t>
        </is>
      </c>
      <c r="Q187" t="inlineStr">
        <is>
          <t>TOTAL</t>
        </is>
      </c>
    </row>
    <row r="188">
      <c r="A188" t="inlineStr">
        <is>
          <t>DN</t>
        </is>
      </c>
      <c r="B188" t="inlineStr">
        <is>
          <t>Équipe</t>
        </is>
      </c>
      <c r="C188" t="inlineStr">
        <is>
          <t>MANCHONS</t>
        </is>
      </c>
      <c r="D188" t="inlineStr">
        <is>
          <t>COUDE</t>
        </is>
      </c>
      <c r="E188" t="inlineStr">
        <is>
          <t>PEC</t>
        </is>
      </c>
      <c r="F188" t="inlineStr">
        <is>
          <t>PURGES</t>
        </is>
      </c>
      <c r="G188" t="inlineStr">
        <is>
          <t>BY-PASS</t>
        </is>
      </c>
      <c r="H188" t="inlineStr">
        <is>
          <t>Taux horaire</t>
        </is>
      </c>
      <c r="I188" t="inlineStr">
        <is>
          <t>MANCHONS</t>
        </is>
      </c>
      <c r="J188" t="inlineStr">
        <is>
          <t>COUDE</t>
        </is>
      </c>
      <c r="K188" t="inlineStr">
        <is>
          <t>PEC</t>
        </is>
      </c>
      <c r="L188" t="inlineStr">
        <is>
          <t>PURGES</t>
        </is>
      </c>
      <c r="M188" t="inlineStr">
        <is>
          <t>BY-PASS</t>
        </is>
      </c>
      <c r="N188" t="inlineStr">
        <is>
          <t>Amort. extrudeuse</t>
        </is>
      </c>
      <c r="O188" t="inlineStr">
        <is>
          <t>Consommables</t>
        </is>
      </c>
      <c r="P188" t="inlineStr">
        <is>
          <t>Total Fourn.</t>
        </is>
      </c>
      <c r="Q188" t="inlineStr">
        <is>
          <t>Manchons</t>
        </is>
      </c>
      <c r="R188" t="inlineStr">
        <is>
          <t>Coudes</t>
        </is>
      </c>
      <c r="S188" t="inlineStr">
        <is>
          <t>PEC</t>
        </is>
      </c>
      <c r="T188" t="inlineStr">
        <is>
          <t>Purges</t>
        </is>
      </c>
      <c r="U188" t="inlineStr">
        <is>
          <t>By-pass</t>
        </is>
      </c>
    </row>
    <row r="189">
      <c r="A189" t="n">
        <v>90</v>
      </c>
      <c r="B189" t="inlineStr">
        <is>
          <t>M+M</t>
        </is>
      </c>
      <c r="C189" t="n">
        <v>2</v>
      </c>
      <c r="D189" t="n">
        <v>3</v>
      </c>
      <c r="E189" t="n">
        <v>8</v>
      </c>
      <c r="F189" t="n">
        <v>5</v>
      </c>
      <c r="G189" t="n">
        <v>6</v>
      </c>
      <c r="H189" t="n">
        <v>160</v>
      </c>
      <c r="I189" t="n">
        <v>320</v>
      </c>
      <c r="J189" t="n">
        <v>480</v>
      </c>
      <c r="K189" t="n">
        <v>1280</v>
      </c>
      <c r="L189" t="n">
        <v>800</v>
      </c>
      <c r="M189" t="n">
        <v>960</v>
      </c>
      <c r="N189" t="n">
        <v>200</v>
      </c>
      <c r="O189" t="n">
        <v>50</v>
      </c>
      <c r="P189" t="n">
        <v>250</v>
      </c>
      <c r="Q189" t="n">
        <v>570</v>
      </c>
      <c r="R189" t="n">
        <v>730</v>
      </c>
      <c r="S189" t="n">
        <v>1530</v>
      </c>
      <c r="T189" t="n">
        <v>1050</v>
      </c>
      <c r="U189" t="n">
        <v>1210</v>
      </c>
    </row>
    <row r="190">
      <c r="A190" t="n">
        <v>110</v>
      </c>
      <c r="B190" t="inlineStr">
        <is>
          <t>M+M</t>
        </is>
      </c>
      <c r="C190" t="n">
        <v>2</v>
      </c>
      <c r="D190" t="n">
        <v>3</v>
      </c>
      <c r="E190" t="n">
        <v>8</v>
      </c>
      <c r="F190" t="n">
        <v>5</v>
      </c>
      <c r="G190" t="n">
        <v>6</v>
      </c>
      <c r="H190" t="n">
        <v>160</v>
      </c>
      <c r="I190" t="n">
        <v>320</v>
      </c>
      <c r="J190" t="n">
        <v>480</v>
      </c>
      <c r="K190" t="n">
        <v>1280</v>
      </c>
      <c r="L190" t="n">
        <v>800</v>
      </c>
      <c r="M190" t="n">
        <v>960</v>
      </c>
      <c r="N190" t="n">
        <v>200</v>
      </c>
      <c r="O190" t="n">
        <v>50</v>
      </c>
      <c r="P190" t="n">
        <v>250</v>
      </c>
      <c r="Q190" t="n">
        <v>570</v>
      </c>
      <c r="R190" t="n">
        <v>730</v>
      </c>
      <c r="S190" t="n">
        <v>1530</v>
      </c>
      <c r="T190" t="n">
        <v>1050</v>
      </c>
      <c r="U190" t="n">
        <v>1210</v>
      </c>
    </row>
    <row r="191">
      <c r="A191" t="n">
        <v>125</v>
      </c>
      <c r="B191" t="inlineStr">
        <is>
          <t>M+M</t>
        </is>
      </c>
      <c r="C191" t="n">
        <v>2</v>
      </c>
      <c r="D191" t="n">
        <v>3</v>
      </c>
      <c r="E191" t="n">
        <v>8</v>
      </c>
      <c r="F191" t="n">
        <v>5</v>
      </c>
      <c r="G191" t="n">
        <v>6</v>
      </c>
      <c r="H191" t="n">
        <v>160</v>
      </c>
      <c r="I191" t="n">
        <v>320</v>
      </c>
      <c r="J191" t="n">
        <v>480</v>
      </c>
      <c r="K191" t="n">
        <v>1280</v>
      </c>
      <c r="L191" t="n">
        <v>800</v>
      </c>
      <c r="M191" t="n">
        <v>960</v>
      </c>
      <c r="N191" t="n">
        <v>200</v>
      </c>
      <c r="O191" t="n">
        <v>50</v>
      </c>
      <c r="P191" t="n">
        <v>250</v>
      </c>
      <c r="Q191" t="n">
        <v>570</v>
      </c>
      <c r="R191" t="n">
        <v>730</v>
      </c>
      <c r="S191" t="n">
        <v>1530</v>
      </c>
      <c r="T191" t="n">
        <v>1050</v>
      </c>
      <c r="U191" t="n">
        <v>1210</v>
      </c>
    </row>
    <row r="192">
      <c r="A192" t="n">
        <v>140</v>
      </c>
      <c r="B192" t="inlineStr">
        <is>
          <t>M+M</t>
        </is>
      </c>
      <c r="C192" t="n">
        <v>2</v>
      </c>
      <c r="D192" t="n">
        <v>3</v>
      </c>
      <c r="E192" t="n">
        <v>8</v>
      </c>
      <c r="F192" t="n">
        <v>5</v>
      </c>
      <c r="G192" t="n">
        <v>6</v>
      </c>
      <c r="H192" t="n">
        <v>160</v>
      </c>
      <c r="I192" t="n">
        <v>320</v>
      </c>
      <c r="J192" t="n">
        <v>480</v>
      </c>
      <c r="K192" t="n">
        <v>1280</v>
      </c>
      <c r="L192" t="n">
        <v>800</v>
      </c>
      <c r="M192" t="n">
        <v>960</v>
      </c>
      <c r="N192" t="n">
        <v>200</v>
      </c>
      <c r="O192" t="n">
        <v>50</v>
      </c>
      <c r="P192" t="n">
        <v>250</v>
      </c>
      <c r="Q192" t="n">
        <v>570</v>
      </c>
      <c r="R192" t="n">
        <v>730</v>
      </c>
      <c r="S192" t="n">
        <v>1530</v>
      </c>
      <c r="T192" t="n">
        <v>1050</v>
      </c>
      <c r="U192" t="n">
        <v>1210</v>
      </c>
    </row>
    <row r="193">
      <c r="A193" t="n">
        <v>160</v>
      </c>
      <c r="B193" t="inlineStr">
        <is>
          <t>M+M</t>
        </is>
      </c>
      <c r="C193" t="n">
        <v>2</v>
      </c>
      <c r="D193" t="n">
        <v>3</v>
      </c>
      <c r="E193" t="n">
        <v>8</v>
      </c>
      <c r="F193" t="n">
        <v>5</v>
      </c>
      <c r="G193" t="n">
        <v>6</v>
      </c>
      <c r="H193" t="n">
        <v>160</v>
      </c>
      <c r="I193" t="n">
        <v>320</v>
      </c>
      <c r="J193" t="n">
        <v>480</v>
      </c>
      <c r="K193" t="n">
        <v>1280</v>
      </c>
      <c r="L193" t="n">
        <v>800</v>
      </c>
      <c r="M193" t="n">
        <v>960</v>
      </c>
      <c r="N193" t="n">
        <v>200</v>
      </c>
      <c r="O193" t="n">
        <v>50</v>
      </c>
      <c r="P193" t="n">
        <v>250</v>
      </c>
      <c r="Q193" t="n">
        <v>570</v>
      </c>
      <c r="R193" t="n">
        <v>730</v>
      </c>
      <c r="S193" t="n">
        <v>1530</v>
      </c>
      <c r="T193" t="n">
        <v>1050</v>
      </c>
      <c r="U193" t="n">
        <v>1210</v>
      </c>
    </row>
    <row r="194">
      <c r="A194" t="n">
        <v>200</v>
      </c>
      <c r="B194" t="inlineStr">
        <is>
          <t>M+M</t>
        </is>
      </c>
      <c r="C194" t="n">
        <v>2</v>
      </c>
      <c r="D194" t="n">
        <v>3</v>
      </c>
      <c r="E194" t="n">
        <v>8</v>
      </c>
      <c r="F194" t="n">
        <v>5</v>
      </c>
      <c r="G194" t="n">
        <v>6</v>
      </c>
      <c r="H194" t="n">
        <v>160</v>
      </c>
      <c r="I194" t="n">
        <v>320</v>
      </c>
      <c r="J194" t="n">
        <v>480</v>
      </c>
      <c r="K194" t="n">
        <v>1280</v>
      </c>
      <c r="L194" t="n">
        <v>800</v>
      </c>
      <c r="M194" t="n">
        <v>960</v>
      </c>
      <c r="N194" t="n">
        <v>200</v>
      </c>
      <c r="O194" t="n">
        <v>50</v>
      </c>
      <c r="P194" t="n">
        <v>250</v>
      </c>
      <c r="Q194" t="n">
        <v>570</v>
      </c>
      <c r="R194" t="n">
        <v>730</v>
      </c>
      <c r="S194" t="n">
        <v>1530</v>
      </c>
      <c r="T194" t="n">
        <v>1050</v>
      </c>
      <c r="U194" t="n">
        <v>1210</v>
      </c>
    </row>
    <row r="195">
      <c r="A195" t="n">
        <v>225</v>
      </c>
      <c r="B195" t="inlineStr">
        <is>
          <t>M+M</t>
        </is>
      </c>
      <c r="C195" t="n">
        <v>2</v>
      </c>
      <c r="D195" t="n">
        <v>3</v>
      </c>
      <c r="E195" t="n">
        <v>8</v>
      </c>
      <c r="F195" t="n">
        <v>5</v>
      </c>
      <c r="G195" t="n">
        <v>6</v>
      </c>
      <c r="H195" t="n">
        <v>160</v>
      </c>
      <c r="I195" t="n">
        <v>320</v>
      </c>
      <c r="J195" t="n">
        <v>480</v>
      </c>
      <c r="K195" t="n">
        <v>1280</v>
      </c>
      <c r="L195" t="n">
        <v>800</v>
      </c>
      <c r="M195" t="n">
        <v>960</v>
      </c>
      <c r="N195" t="n">
        <v>200</v>
      </c>
      <c r="O195" t="n">
        <v>50</v>
      </c>
      <c r="P195" t="n">
        <v>250</v>
      </c>
      <c r="Q195" t="n">
        <v>570</v>
      </c>
      <c r="R195" t="n">
        <v>730</v>
      </c>
      <c r="S195" t="n">
        <v>1530</v>
      </c>
      <c r="T195" t="n">
        <v>1050</v>
      </c>
      <c r="U195" t="n">
        <v>1210</v>
      </c>
    </row>
    <row r="196">
      <c r="A196" t="n">
        <v>250</v>
      </c>
      <c r="B196" t="inlineStr">
        <is>
          <t>M+M</t>
        </is>
      </c>
      <c r="C196" t="n">
        <v>2</v>
      </c>
      <c r="D196" t="n">
        <v>3</v>
      </c>
      <c r="E196" t="n">
        <v>8</v>
      </c>
      <c r="F196" t="n">
        <v>5</v>
      </c>
      <c r="G196" t="n">
        <v>6</v>
      </c>
      <c r="H196" t="n">
        <v>160</v>
      </c>
      <c r="I196" t="n">
        <v>320</v>
      </c>
      <c r="J196" t="n">
        <v>480</v>
      </c>
      <c r="K196" t="n">
        <v>1280</v>
      </c>
      <c r="L196" t="n">
        <v>800</v>
      </c>
      <c r="M196" t="n">
        <v>960</v>
      </c>
      <c r="N196" t="n">
        <v>200</v>
      </c>
      <c r="O196" t="n">
        <v>50</v>
      </c>
      <c r="P196" t="n">
        <v>250</v>
      </c>
      <c r="Q196" t="n">
        <v>570</v>
      </c>
      <c r="R196" t="n">
        <v>730</v>
      </c>
      <c r="S196" t="n">
        <v>1530</v>
      </c>
      <c r="T196" t="n">
        <v>1050</v>
      </c>
      <c r="U196" t="n">
        <v>1210</v>
      </c>
    </row>
    <row r="197"/>
    <row r="198">
      <c r="A198" t="inlineStr">
        <is>
          <t>COLLIERS CENTREURS</t>
        </is>
      </c>
    </row>
    <row r="199"/>
    <row r="200">
      <c r="A200" t="inlineStr">
        <is>
          <t>Paramètre</t>
        </is>
      </c>
      <c r="B200" t="inlineStr">
        <is>
          <t>Équipe</t>
        </is>
      </c>
      <c r="C200" t="inlineStr">
        <is>
          <t>Cadence (segments / h)</t>
        </is>
      </c>
    </row>
    <row r="201">
      <c r="A201" t="inlineStr">
        <is>
          <t>Pose segments</t>
        </is>
      </c>
      <c r="B201" t="inlineStr">
        <is>
          <t>M</t>
        </is>
      </c>
      <c r="C201" t="n">
        <v>10</v>
      </c>
    </row>
    <row r="202"/>
    <row r="203">
      <c r="A203" t="inlineStr">
        <is>
          <t>CALORIFUGEAGE</t>
        </is>
      </c>
    </row>
    <row r="204"/>
    <row r="205">
      <c r="A205" t="inlineStr">
        <is>
          <t>DN</t>
        </is>
      </c>
      <c r="B205" t="inlineStr">
        <is>
          <t>Équipe</t>
        </is>
      </c>
      <c r="C205" t="inlineStr">
        <is>
          <t>ml/h PVC</t>
        </is>
      </c>
      <c r="D205" t="inlineStr">
        <is>
          <t>ml/h Isoxal</t>
        </is>
      </c>
    </row>
    <row r="206">
      <c r="A206" t="n">
        <v>40</v>
      </c>
      <c r="B206" t="inlineStr">
        <is>
          <t>M+M</t>
        </is>
      </c>
      <c r="C206" t="n">
        <v>8</v>
      </c>
      <c r="D206" t="n">
        <v>5</v>
      </c>
    </row>
    <row r="207">
      <c r="A207" t="n">
        <v>50</v>
      </c>
      <c r="B207" t="inlineStr">
        <is>
          <t>M+M</t>
        </is>
      </c>
      <c r="C207" t="n">
        <v>8</v>
      </c>
      <c r="D207" t="n">
        <v>5</v>
      </c>
    </row>
    <row r="208">
      <c r="A208" t="n">
        <v>65</v>
      </c>
      <c r="B208" t="inlineStr">
        <is>
          <t>M+M</t>
        </is>
      </c>
      <c r="C208" t="n">
        <v>8</v>
      </c>
      <c r="D208" t="n">
        <v>5</v>
      </c>
    </row>
    <row r="209">
      <c r="A209" t="n">
        <v>80</v>
      </c>
      <c r="B209" t="inlineStr">
        <is>
          <t>M+M</t>
        </is>
      </c>
      <c r="C209" t="n">
        <v>8</v>
      </c>
      <c r="D209" t="n">
        <v>5</v>
      </c>
    </row>
    <row r="210">
      <c r="A210" t="n">
        <v>100</v>
      </c>
      <c r="B210" t="inlineStr">
        <is>
          <t>M+M</t>
        </is>
      </c>
      <c r="C210" t="n">
        <v>8</v>
      </c>
      <c r="D210" t="n">
        <v>5</v>
      </c>
    </row>
    <row r="211">
      <c r="A211" t="n">
        <v>150</v>
      </c>
      <c r="B211" t="inlineStr">
        <is>
          <t>M+M</t>
        </is>
      </c>
      <c r="C211" t="n">
        <v>8</v>
      </c>
      <c r="D211" t="n">
        <v>5</v>
      </c>
    </row>
    <row r="212">
      <c r="A212" t="n">
        <v>200</v>
      </c>
      <c r="B212" t="inlineStr">
        <is>
          <t>M+M</t>
        </is>
      </c>
      <c r="C212" t="n">
        <v>8</v>
      </c>
      <c r="D212" t="n">
        <v>5</v>
      </c>
    </row>
    <row r="213"/>
    <row r="214">
      <c r="A214" t="inlineStr">
        <is>
          <t>BY-PASS SUR PURGE (VANNES PRÉISOLÉES)</t>
        </is>
      </c>
    </row>
    <row r="215"/>
    <row r="216">
      <c r="A216" t="inlineStr">
        <is>
          <t>Désignation</t>
        </is>
      </c>
      <c r="B216" t="inlineStr">
        <is>
          <t>DN</t>
        </is>
      </c>
      <c r="C216" t="inlineStr">
        <is>
          <t>Qté</t>
        </is>
      </c>
      <c r="D216" t="inlineStr">
        <is>
          <t>Prix unitaire</t>
        </is>
      </c>
      <c r="E216" t="inlineStr">
        <is>
          <t>Montant</t>
        </is>
      </c>
    </row>
    <row r="217">
      <c r="A217" t="inlineStr">
        <is>
          <t>Coude à souder</t>
        </is>
      </c>
      <c r="B217" t="n">
        <v>50</v>
      </c>
      <c r="C217" t="n">
        <v>6</v>
      </c>
      <c r="D217">
        <f>VLOOKUP($B217,FO_Accessoires_Acier[],9,FALSE)</f>
        <v/>
      </c>
    </row>
    <row r="218">
      <c r="A218" t="inlineStr">
        <is>
          <t>Bobine</t>
        </is>
      </c>
      <c r="B218" t="n">
        <v>50</v>
      </c>
      <c r="C218" t="n">
        <v>2</v>
      </c>
      <c r="D218">
        <f>VLOOKUP($B218,FO_Accessoires_Acier[],2,FALSE)</f>
        <v/>
      </c>
    </row>
    <row r="219">
      <c r="A219" t="inlineStr">
        <is>
          <t>Tube acier nu (6 ml)</t>
        </is>
      </c>
      <c r="B219" t="n">
        <v>50</v>
      </c>
      <c r="C219" t="n">
        <v>1</v>
      </c>
      <c r="D219">
        <f>VLOOKUP($B219,FO_Accessoires_Acier[],8,FALSE)</f>
        <v/>
      </c>
    </row>
    <row r="220">
      <c r="A220" t="inlineStr">
        <is>
          <t>Vanne BS PR PN25</t>
        </is>
      </c>
      <c r="B220" t="n">
        <v>50</v>
      </c>
      <c r="C220" t="n">
        <v>1</v>
      </c>
      <c r="D220">
        <f>VLOOKUP($B220,FO_Vannes_Souder[],4,FALSE)</f>
        <v/>
      </c>
    </row>
    <row r="221">
      <c r="A221" t="inlineStr">
        <is>
          <t>MO soudeur + tuyauteur (heures)</t>
        </is>
      </c>
      <c r="C221" t="n">
        <v>0.5</v>
      </c>
      <c r="D221" t="n">
        <v>190</v>
      </c>
    </row>
    <row r="222">
      <c r="A222" t="inlineStr">
        <is>
          <t>Sous-total pour un by-pass</t>
        </is>
      </c>
    </row>
    <row r="223">
      <c r="A223" t="inlineStr">
        <is>
          <t>Nombre de by-pass par vanne</t>
        </is>
      </c>
      <c r="C22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SUIVI DES VERSIONS</t>
        </is>
      </c>
    </row>
    <row r="2">
      <c r="A2" t="inlineStr">
        <is>
          <t>Version</t>
        </is>
      </c>
      <c r="B2" t="inlineStr">
        <is>
          <t>Date V</t>
        </is>
      </c>
      <c r="C2" t="inlineStr">
        <is>
          <t>Objet</t>
        </is>
      </c>
    </row>
    <row r="3">
      <c r="A3" t="inlineStr">
        <is>
          <t>V99</t>
        </is>
      </c>
      <c r="B3" s="1" t="n">
        <v>46296</v>
      </c>
      <c r="C3" t="inlineStr">
        <is>
          <t>maquette de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2026-10-12T09:07:49Z</dcterms:created>
  <dcterms:modified xmlns:dcterms="http://purl.org/dc/terms/" xmlns:xsi="http://www.w3.org/2001/XMLSchema-instance" xsi:type="dcterms:W3CDTF">2026-10-12T09:07:49Z</dcterms:modified>
</cp:coreProperties>
</file>
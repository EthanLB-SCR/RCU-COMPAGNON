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G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</font>
    <font>
      <b val="1"/>
    </font>
    <font>
      <b val="1"/>
      <i val="1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/>
    </xf>
    <xf numFmtId="0" fontId="3" fillId="4" borderId="2" pivotButton="0" quotePrefix="0" xfId="0"/>
    <xf numFmtId="0" fontId="3" fillId="4" borderId="5" pivotButton="0" quotePrefix="0" xfId="0"/>
    <xf numFmtId="0" fontId="3" fillId="4" borderId="6" pivotButton="0" quotePrefix="0" xfId="0"/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/>
    </xf>
    <xf numFmtId="4" fontId="0" fillId="0" borderId="2" pivotButton="0" quotePrefix="0" xfId="0"/>
    <xf numFmtId="164" fontId="0" fillId="0" borderId="2" pivotButton="0" quotePrefix="0" xfId="0"/>
    <xf numFmtId="0" fontId="4" fillId="0" borderId="2" pivotButton="0" quotePrefix="0" xfId="0"/>
    <xf numFmtId="0" fontId="0" fillId="0" borderId="2" pivotButton="0" quotePrefix="0" xfId="0"/>
    <xf numFmtId="164" fontId="3" fillId="0" borderId="2" pivotButton="0" quotePrefix="0" xfId="0"/>
    <xf numFmtId="0" fontId="3" fillId="0" borderId="0" pivotButton="0" quotePrefix="0" xfId="0"/>
    <xf numFmtId="164" fontId="3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7" customWidth="1" min="3" max="3"/>
    <col width="11" customWidth="1" min="4" max="4"/>
    <col width="13" customWidth="1" min="5" max="5"/>
    <col width="16" customWidth="1" min="6" max="6"/>
  </cols>
  <sheetData>
    <row r="1" ht="28" customHeight="1">
      <c r="A1" s="1" t="inlineStr">
        <is>
          <t>DÉCOMPOSITION DU PRIX GLOBAL ET FORFAITAIRE</t>
        </is>
      </c>
    </row>
    <row r="2">
      <c r="A2" s="2" t="inlineStr">
        <is>
          <t>Lot 03 — Réseau de chaleur · opération fictive (essai de répartition au ml)</t>
        </is>
      </c>
    </row>
    <row r="3" ht="6" customHeight="1"/>
    <row r="4" ht="30" customHeight="1">
      <c r="A4" s="3" t="inlineStr">
        <is>
          <t>N°</t>
        </is>
      </c>
      <c r="B4" s="3" t="inlineStr">
        <is>
          <t>Désignation</t>
        </is>
      </c>
      <c r="C4" s="3" t="inlineStr">
        <is>
          <t>U</t>
        </is>
      </c>
      <c r="D4" s="3" t="inlineStr">
        <is>
          <t>Qté</t>
        </is>
      </c>
      <c r="E4" s="3" t="inlineStr">
        <is>
          <t>PU HT</t>
        </is>
      </c>
      <c r="F4" s="3" t="inlineStr">
        <is>
          <t>Montant HT</t>
        </is>
      </c>
    </row>
    <row r="5">
      <c r="A5" s="4" t="inlineStr">
        <is>
          <t>1</t>
        </is>
      </c>
      <c r="B5" s="5" t="inlineStr">
        <is>
          <t>INSTALLATION DE CHANTIER</t>
        </is>
      </c>
      <c r="C5" s="6" t="n"/>
      <c r="D5" s="6" t="n"/>
      <c r="E5" s="6" t="n"/>
      <c r="F5" s="7" t="n"/>
    </row>
    <row r="6">
      <c r="A6" s="8" t="inlineStr">
        <is>
          <t>1.1</t>
        </is>
      </c>
      <c r="B6" s="9" t="inlineStr">
        <is>
          <t>Installation de chantier, base vie et repli</t>
        </is>
      </c>
      <c r="C6" s="10" t="inlineStr">
        <is>
          <t>ft</t>
        </is>
      </c>
      <c r="D6" s="11" t="n">
        <v>1</v>
      </c>
      <c r="E6" s="12" t="n"/>
      <c r="F6" s="12">
        <f>D6*E6</f>
        <v/>
      </c>
    </row>
    <row r="7">
      <c r="A7" s="8" t="inlineStr">
        <is>
          <t>1.2</t>
        </is>
      </c>
      <c r="B7" s="9" t="inlineStr">
        <is>
          <t>Amené et repli du matériel de soudage</t>
        </is>
      </c>
      <c r="C7" s="10" t="inlineStr">
        <is>
          <t>ft</t>
        </is>
      </c>
      <c r="D7" s="11" t="n">
        <v>1</v>
      </c>
      <c r="E7" s="12" t="n"/>
      <c r="F7" s="12">
        <f>D7*E7</f>
        <v/>
      </c>
    </row>
    <row r="8">
      <c r="A8" s="8" t="n"/>
      <c r="B8" s="13" t="inlineStr">
        <is>
          <t>Sous-total chapitre 1</t>
        </is>
      </c>
      <c r="C8" s="14" t="n"/>
      <c r="D8" s="14" t="n"/>
      <c r="E8" s="14" t="n"/>
      <c r="F8" s="15">
        <f>SUBTOTAL(9,F6:F7)</f>
        <v/>
      </c>
    </row>
    <row r="9">
      <c r="A9" s="4" t="inlineStr">
        <is>
          <t>2</t>
        </is>
      </c>
      <c r="B9" s="5" t="inlineStr">
        <is>
          <t>RÉSEAU PRÉ-ISOLÉ</t>
        </is>
      </c>
      <c r="C9" s="6" t="n"/>
      <c r="D9" s="6" t="n"/>
      <c r="E9" s="6" t="n"/>
      <c r="F9" s="7" t="n"/>
    </row>
    <row r="10">
      <c r="A10" s="8" t="inlineStr">
        <is>
          <t>2.1</t>
        </is>
      </c>
      <c r="B10" s="9" t="inlineStr">
        <is>
          <t>Fourniture et pose tube acier pré-isolé DN 100 — rue des Essais</t>
        </is>
      </c>
      <c r="C10" s="10" t="inlineStr">
        <is>
          <t>ml</t>
        </is>
      </c>
      <c r="D10" s="11" t="n">
        <v>420</v>
      </c>
      <c r="E10" s="12" t="n"/>
      <c r="F10" s="12">
        <f>D10*E10</f>
        <v/>
      </c>
    </row>
    <row r="11">
      <c r="A11" s="8" t="inlineStr">
        <is>
          <t>2.2</t>
        </is>
      </c>
      <c r="B11" s="9" t="inlineStr">
        <is>
          <t>Fourniture et pose tube acier pré-isolé DN 100 — traversée du parc</t>
        </is>
      </c>
      <c r="C11" s="10" t="inlineStr">
        <is>
          <t>ml</t>
        </is>
      </c>
      <c r="D11" s="11" t="n">
        <v>180</v>
      </c>
      <c r="E11" s="12" t="n"/>
      <c r="F11" s="12">
        <f>D11*E11</f>
        <v/>
      </c>
    </row>
    <row r="12">
      <c r="A12" s="8" t="inlineStr">
        <is>
          <t>2.3</t>
        </is>
      </c>
      <c r="B12" s="9" t="inlineStr">
        <is>
          <t>Fourniture et pose tube acier pré-isolé DN 80 — avenue Fictive</t>
        </is>
      </c>
      <c r="C12" s="10" t="inlineStr">
        <is>
          <t>ml</t>
        </is>
      </c>
      <c r="D12" s="11" t="n">
        <v>300</v>
      </c>
      <c r="E12" s="12" t="n"/>
      <c r="F12" s="12">
        <f>D12*E12</f>
        <v/>
      </c>
    </row>
    <row r="13">
      <c r="A13" s="8" t="inlineStr">
        <is>
          <t>2.4</t>
        </is>
      </c>
      <c r="B13" s="9" t="inlineStr">
        <is>
          <t>Tube pré-isolé DN50/125 — antenne bâtiment A</t>
        </is>
      </c>
      <c r="C13" s="10" t="inlineStr">
        <is>
          <t>ml</t>
        </is>
      </c>
      <c r="D13" s="11" t="n">
        <v>120</v>
      </c>
      <c r="E13" s="12" t="n"/>
      <c r="F13" s="12">
        <f>D13*E13</f>
        <v/>
      </c>
    </row>
    <row r="14">
      <c r="A14" s="8" t="inlineStr">
        <is>
          <t>2.5</t>
        </is>
      </c>
      <c r="B14" s="9" t="inlineStr">
        <is>
          <t>Tube pré-isolé DN50/125 — antenne bâtiment B</t>
        </is>
      </c>
      <c r="C14" s="10" t="inlineStr">
        <is>
          <t>ml</t>
        </is>
      </c>
      <c r="D14" s="11" t="n">
        <v>80</v>
      </c>
      <c r="E14" s="12" t="n"/>
      <c r="F14" s="12">
        <f>D14*E14</f>
        <v/>
      </c>
    </row>
    <row r="15">
      <c r="A15" s="8" t="inlineStr">
        <is>
          <t>2.6</t>
        </is>
      </c>
      <c r="B15" s="9" t="inlineStr">
        <is>
          <t>Fourreau de protection sous voirie</t>
        </is>
      </c>
      <c r="C15" s="10" t="inlineStr">
        <is>
          <t>ml</t>
        </is>
      </c>
      <c r="D15" s="11" t="n">
        <v>40</v>
      </c>
      <c r="E15" s="12" t="n"/>
      <c r="F15" s="12">
        <f>D15*E15</f>
        <v/>
      </c>
    </row>
    <row r="16">
      <c r="A16" s="8" t="n"/>
      <c r="B16" s="13" t="inlineStr">
        <is>
          <t>Sous-total chapitre 2</t>
        </is>
      </c>
      <c r="C16" s="14" t="n"/>
      <c r="D16" s="14" t="n"/>
      <c r="E16" s="14" t="n"/>
      <c r="F16" s="15">
        <f>SUBTOTAL(9,F10:F15)</f>
        <v/>
      </c>
    </row>
    <row r="17">
      <c r="A17" s="4" t="inlineStr">
        <is>
          <t>3</t>
        </is>
      </c>
      <c r="B17" s="5" t="inlineStr">
        <is>
          <t>OUVRAGES À L'UNITÉ</t>
        </is>
      </c>
      <c r="C17" s="6" t="n"/>
      <c r="D17" s="6" t="n"/>
      <c r="E17" s="6" t="n"/>
      <c r="F17" s="7" t="n"/>
    </row>
    <row r="18">
      <c r="A18" s="8" t="inlineStr">
        <is>
          <t>3.1</t>
        </is>
      </c>
      <c r="B18" s="9" t="inlineStr">
        <is>
          <t>Soudure bout à bout DN 100 en fouille</t>
        </is>
      </c>
      <c r="C18" s="10" t="inlineStr">
        <is>
          <t>u</t>
        </is>
      </c>
      <c r="D18" s="11" t="n">
        <v>40</v>
      </c>
      <c r="E18" s="12" t="n"/>
      <c r="F18" s="12">
        <f>D18*E18</f>
        <v/>
      </c>
    </row>
    <row r="19">
      <c r="A19" s="8" t="inlineStr">
        <is>
          <t>3.2</t>
        </is>
      </c>
      <c r="B19" s="9" t="inlineStr">
        <is>
          <t>Vanne d'isolement préisolée DN 80</t>
        </is>
      </c>
      <c r="C19" s="10" t="inlineStr">
        <is>
          <t>u</t>
        </is>
      </c>
      <c r="D19" s="11" t="n">
        <v>2</v>
      </c>
      <c r="E19" s="12" t="n"/>
      <c r="F19" s="12">
        <f>D19*E19</f>
        <v/>
      </c>
    </row>
    <row r="20">
      <c r="A20" s="8" t="inlineStr">
        <is>
          <t>3.3</t>
        </is>
      </c>
      <c r="B20" s="9" t="inlineStr">
        <is>
          <t>Purges et vidanges, y compris robinetterie</t>
        </is>
      </c>
      <c r="C20" s="10" t="inlineStr">
        <is>
          <t>ens.</t>
        </is>
      </c>
      <c r="D20" s="11" t="n">
        <v>1</v>
      </c>
      <c r="E20" s="12" t="n"/>
      <c r="F20" s="12">
        <f>D20*E20</f>
        <v/>
      </c>
    </row>
    <row r="21">
      <c r="A21" s="8" t="n"/>
      <c r="B21" s="13" t="inlineStr">
        <is>
          <t>Sous-total chapitre 3</t>
        </is>
      </c>
      <c r="C21" s="14" t="n"/>
      <c r="D21" s="14" t="n"/>
      <c r="E21" s="14" t="n"/>
      <c r="F21" s="15">
        <f>SUBTOTAL(9,F18:F20)</f>
        <v/>
      </c>
    </row>
    <row r="22">
      <c r="A22" s="4" t="inlineStr">
        <is>
          <t>4</t>
        </is>
      </c>
      <c r="B22" s="5" t="inlineStr">
        <is>
          <t>ESSAIS ET CONTRÔLES</t>
        </is>
      </c>
      <c r="C22" s="6" t="n"/>
      <c r="D22" s="6" t="n"/>
      <c r="E22" s="6" t="n"/>
      <c r="F22" s="7" t="n"/>
    </row>
    <row r="23">
      <c r="A23" s="8" t="inlineStr">
        <is>
          <t>4.1</t>
        </is>
      </c>
      <c r="B23" s="9" t="inlineStr">
        <is>
          <t>Épreuve hydraulique du réseau</t>
        </is>
      </c>
      <c r="C23" s="10" t="inlineStr">
        <is>
          <t>ft</t>
        </is>
      </c>
      <c r="D23" s="11" t="n">
        <v>1</v>
      </c>
      <c r="E23" s="12" t="n"/>
      <c r="F23" s="12">
        <f>D23*E23</f>
        <v/>
      </c>
    </row>
    <row r="24">
      <c r="A24" s="8" t="inlineStr">
        <is>
          <t>4.2</t>
        </is>
      </c>
      <c r="B24" s="9" t="inlineStr">
        <is>
          <t>Contrôle radiographique des soudures</t>
        </is>
      </c>
      <c r="C24" s="10" t="inlineStr">
        <is>
          <t>u</t>
        </is>
      </c>
      <c r="D24" s="11" t="n">
        <v>15</v>
      </c>
      <c r="E24" s="12" t="n"/>
      <c r="F24" s="12">
        <f>D24*E24</f>
        <v/>
      </c>
    </row>
    <row r="25">
      <c r="A25" s="8" t="n"/>
      <c r="B25" s="13" t="inlineStr">
        <is>
          <t>Sous-total chapitre 4</t>
        </is>
      </c>
      <c r="C25" s="14" t="n"/>
      <c r="D25" s="14" t="n"/>
      <c r="E25" s="14" t="n"/>
      <c r="F25" s="15">
        <f>SUBTOTAL(9,F23:F24)</f>
        <v/>
      </c>
    </row>
    <row r="26">
      <c r="A26" s="4" t="inlineStr">
        <is>
          <t>5</t>
        </is>
      </c>
      <c r="B26" s="5" t="inlineStr">
        <is>
          <t>DIVERS</t>
        </is>
      </c>
      <c r="C26" s="6" t="n"/>
      <c r="D26" s="6" t="n"/>
      <c r="E26" s="6" t="n"/>
      <c r="F26" s="7" t="n"/>
    </row>
    <row r="27">
      <c r="A27" s="8" t="inlineStr">
        <is>
          <t>5.1</t>
        </is>
      </c>
      <c r="B27" s="9" t="inlineStr">
        <is>
          <t>Divers et sujétions d'exécution</t>
        </is>
      </c>
      <c r="C27" s="10" t="inlineStr">
        <is>
          <t>ft</t>
        </is>
      </c>
      <c r="D27" s="11" t="n">
        <v>1</v>
      </c>
      <c r="E27" s="12" t="n"/>
      <c r="F27" s="12">
        <f>D27*E27</f>
        <v/>
      </c>
    </row>
    <row r="28">
      <c r="A28" s="8" t="n"/>
      <c r="B28" s="13" t="inlineStr">
        <is>
          <t>Sous-total chapitre 5</t>
        </is>
      </c>
      <c r="C28" s="14" t="n"/>
      <c r="D28" s="14" t="n"/>
      <c r="E28" s="14" t="n"/>
      <c r="F28" s="15">
        <f>SUBTOTAL(9,F27:F27)</f>
        <v/>
      </c>
    </row>
    <row r="30">
      <c r="B30" s="16" t="inlineStr">
        <is>
          <t>TOTAL HT</t>
        </is>
      </c>
      <c r="F30" s="17">
        <f>F8+F16+F21+F25+F28</f>
        <v/>
      </c>
    </row>
    <row r="31">
      <c r="B31" t="inlineStr">
        <is>
          <t>TVA</t>
        </is>
      </c>
      <c r="E31" s="18" t="n">
        <v>0.2</v>
      </c>
      <c r="F31" s="19">
        <f>ROUND(F30*E31,2)</f>
        <v/>
      </c>
    </row>
    <row r="32">
      <c r="B32" s="20" t="inlineStr">
        <is>
          <t>TOTAL TTC</t>
        </is>
      </c>
      <c r="F32" s="19">
        <f>F30+F31</f>
        <v/>
      </c>
    </row>
  </sheetData>
  <mergeCells count="7">
    <mergeCell ref="A2:F2"/>
    <mergeCell ref="A1:F1"/>
    <mergeCell ref="B5:F5"/>
    <mergeCell ref="B22:F22"/>
    <mergeCell ref="B26:F26"/>
    <mergeCell ref="B17:F17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2026-10-15T06:34:31Z</dcterms:created>
  <dcterms:modified xmlns:dcterms="http://purl.org/dc/terms/" xmlns:xsi="http://www.w3.org/2001/XMLSchema-instance" xsi:type="dcterms:W3CDTF">2026-10-15T06:34:31Z</dcterms:modified>
</cp:coreProperties>
</file>